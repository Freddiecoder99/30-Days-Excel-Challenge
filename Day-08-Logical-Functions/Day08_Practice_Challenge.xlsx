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E1F7785-C7D0-4617-A806-E742F2606C5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Student Performance" sheetId="2" r:id="rId2"/>
  </sheets>
  <definedNames>
    <definedName name="_xlnm._FilterDatabase" localSheetId="1" hidden="1">'Student Performance'!$A$1:$I$376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0" i="2" l="1"/>
  <c r="I2" i="2"/>
  <c r="I241" i="2"/>
  <c r="I3" i="2"/>
  <c r="I4" i="2"/>
  <c r="I242" i="2"/>
  <c r="I5" i="2"/>
  <c r="I6" i="2"/>
  <c r="I7" i="2"/>
  <c r="I8" i="2"/>
  <c r="I9" i="2"/>
  <c r="I243" i="2"/>
  <c r="I244" i="2"/>
  <c r="I10" i="2"/>
  <c r="I11" i="2"/>
  <c r="I12" i="2"/>
  <c r="I13" i="2"/>
  <c r="I14" i="2"/>
  <c r="I15" i="2"/>
  <c r="I16" i="2"/>
  <c r="I245" i="2"/>
  <c r="I17" i="2"/>
  <c r="I18" i="2"/>
  <c r="I246" i="2"/>
  <c r="I19" i="2"/>
  <c r="I20" i="2"/>
  <c r="I247" i="2"/>
  <c r="I21" i="2"/>
  <c r="I248" i="2"/>
  <c r="I249" i="2"/>
  <c r="I22" i="2"/>
  <c r="I250" i="2"/>
  <c r="I23" i="2"/>
  <c r="I24" i="2"/>
  <c r="I251" i="2"/>
  <c r="I252" i="2"/>
  <c r="I25" i="2"/>
  <c r="I26" i="2"/>
  <c r="I27" i="2"/>
  <c r="I28" i="2"/>
  <c r="I29" i="2"/>
  <c r="I30" i="2"/>
  <c r="I31" i="2"/>
  <c r="I253" i="2"/>
  <c r="I32" i="2"/>
  <c r="I33" i="2"/>
  <c r="I34" i="2"/>
  <c r="I35" i="2"/>
  <c r="I254" i="2"/>
  <c r="I36" i="2"/>
  <c r="I255" i="2"/>
  <c r="I37" i="2"/>
  <c r="I38" i="2"/>
  <c r="I256" i="2"/>
  <c r="I257" i="2"/>
  <c r="I39" i="2"/>
  <c r="I258" i="2"/>
  <c r="I40" i="2"/>
  <c r="I259" i="2"/>
  <c r="I260" i="2"/>
  <c r="I41" i="2"/>
  <c r="I42" i="2"/>
  <c r="I261" i="2"/>
  <c r="I43" i="2"/>
  <c r="I262" i="2"/>
  <c r="I44" i="2"/>
  <c r="I45" i="2"/>
  <c r="I46" i="2"/>
  <c r="I263" i="2"/>
  <c r="I47" i="2"/>
  <c r="I48" i="2"/>
  <c r="I49" i="2"/>
  <c r="I264" i="2"/>
  <c r="I50" i="2"/>
  <c r="I51" i="2"/>
  <c r="I52" i="2"/>
  <c r="I53" i="2"/>
  <c r="I54" i="2"/>
  <c r="I265" i="2"/>
  <c r="I266" i="2"/>
  <c r="I55" i="2"/>
  <c r="I56" i="2"/>
  <c r="I57" i="2"/>
  <c r="I58" i="2"/>
  <c r="I267" i="2"/>
  <c r="I59" i="2"/>
  <c r="I60" i="2"/>
  <c r="I268" i="2"/>
  <c r="I61" i="2"/>
  <c r="I62" i="2"/>
  <c r="I63" i="2"/>
  <c r="I269" i="2"/>
  <c r="I64" i="2"/>
  <c r="I270" i="2"/>
  <c r="I271" i="2"/>
  <c r="I272" i="2"/>
  <c r="I65" i="2"/>
  <c r="I66" i="2"/>
  <c r="I67" i="2"/>
  <c r="I68" i="2"/>
  <c r="I69" i="2"/>
  <c r="I70" i="2"/>
  <c r="I71" i="2"/>
  <c r="I72" i="2"/>
  <c r="I273" i="2"/>
  <c r="I73" i="2"/>
  <c r="I74" i="2"/>
  <c r="I75" i="2"/>
  <c r="I274" i="2"/>
  <c r="I76" i="2"/>
  <c r="I77" i="2"/>
  <c r="I275" i="2"/>
  <c r="I276" i="2"/>
  <c r="I277" i="2"/>
  <c r="I78" i="2"/>
  <c r="I79" i="2"/>
  <c r="I278" i="2"/>
  <c r="I80" i="2"/>
  <c r="I279" i="2"/>
  <c r="I81" i="2"/>
  <c r="I82" i="2"/>
  <c r="I83" i="2"/>
  <c r="I84" i="2"/>
  <c r="I280" i="2"/>
  <c r="I281" i="2"/>
  <c r="I85" i="2"/>
  <c r="I86" i="2"/>
  <c r="I87" i="2"/>
  <c r="I282" i="2"/>
  <c r="I283" i="2"/>
  <c r="I284" i="2"/>
  <c r="I285" i="2"/>
  <c r="I88" i="2"/>
  <c r="I89" i="2"/>
  <c r="I286" i="2"/>
  <c r="I90" i="2"/>
  <c r="I287" i="2"/>
  <c r="I288" i="2"/>
  <c r="I289" i="2"/>
  <c r="I91" i="2"/>
  <c r="I92" i="2"/>
  <c r="I93" i="2"/>
  <c r="I94" i="2"/>
  <c r="I290" i="2"/>
  <c r="I95" i="2"/>
  <c r="I291" i="2"/>
  <c r="I96" i="2"/>
  <c r="I97" i="2"/>
  <c r="I98" i="2"/>
  <c r="I99" i="2"/>
  <c r="I292" i="2"/>
  <c r="I293" i="2"/>
  <c r="I100" i="2"/>
  <c r="I294" i="2"/>
  <c r="I295" i="2"/>
  <c r="I296" i="2"/>
  <c r="I101" i="2"/>
  <c r="I297" i="2"/>
  <c r="I102" i="2"/>
  <c r="I298" i="2"/>
  <c r="I299" i="2"/>
  <c r="I103" i="2"/>
  <c r="I300" i="2"/>
  <c r="I301" i="2"/>
  <c r="I104" i="2"/>
  <c r="I105" i="2"/>
  <c r="I302" i="2"/>
  <c r="I106" i="2"/>
  <c r="I107" i="2"/>
  <c r="I303" i="2"/>
  <c r="I108" i="2"/>
  <c r="I304" i="2"/>
  <c r="I109" i="2"/>
  <c r="I305" i="2"/>
  <c r="I110" i="2"/>
  <c r="I306" i="2"/>
  <c r="I111" i="2"/>
  <c r="I112" i="2"/>
  <c r="I113" i="2"/>
  <c r="I114" i="2"/>
  <c r="I307" i="2"/>
  <c r="I308" i="2"/>
  <c r="I115" i="2"/>
  <c r="I116" i="2"/>
  <c r="I117" i="2"/>
  <c r="I118" i="2"/>
  <c r="I119" i="2"/>
  <c r="I309" i="2"/>
  <c r="I310" i="2"/>
  <c r="I120" i="2"/>
  <c r="I121" i="2"/>
  <c r="I122" i="2"/>
  <c r="I311" i="2"/>
  <c r="I123" i="2"/>
  <c r="I312" i="2"/>
  <c r="I124" i="2"/>
  <c r="I125" i="2"/>
  <c r="I126" i="2"/>
  <c r="I127" i="2"/>
  <c r="I313" i="2"/>
  <c r="I128" i="2"/>
  <c r="I129" i="2"/>
  <c r="I314" i="2"/>
  <c r="I130" i="2"/>
  <c r="I131" i="2"/>
  <c r="I132" i="2"/>
  <c r="I133" i="2"/>
  <c r="I315" i="2"/>
  <c r="I134" i="2"/>
  <c r="I135" i="2"/>
  <c r="I316" i="2"/>
  <c r="I317" i="2"/>
  <c r="I136" i="2"/>
  <c r="I137" i="2"/>
  <c r="I138" i="2"/>
  <c r="I139" i="2"/>
  <c r="I318" i="2"/>
  <c r="I140" i="2"/>
  <c r="I319" i="2"/>
  <c r="I141" i="2"/>
  <c r="I320" i="2"/>
  <c r="I142" i="2"/>
  <c r="I143" i="2"/>
  <c r="I321" i="2"/>
  <c r="I144" i="2"/>
  <c r="I322" i="2"/>
  <c r="I145" i="2"/>
  <c r="I323" i="2"/>
  <c r="I146" i="2"/>
  <c r="I147" i="2"/>
  <c r="I148" i="2"/>
  <c r="I324" i="2"/>
  <c r="I325" i="2"/>
  <c r="I326" i="2"/>
  <c r="I149" i="2"/>
  <c r="I327" i="2"/>
  <c r="I150" i="2"/>
  <c r="I151" i="2"/>
  <c r="I152" i="2"/>
  <c r="I153" i="2"/>
  <c r="I154" i="2"/>
  <c r="I155" i="2"/>
  <c r="I328" i="2"/>
  <c r="I156" i="2"/>
  <c r="I157" i="2"/>
  <c r="I158" i="2"/>
  <c r="I329" i="2"/>
  <c r="I159" i="2"/>
  <c r="I330" i="2"/>
  <c r="I160" i="2"/>
  <c r="I161" i="2"/>
  <c r="I162" i="2"/>
  <c r="I331" i="2"/>
  <c r="I163" i="2"/>
  <c r="I164" i="2"/>
  <c r="I332" i="2"/>
  <c r="I165" i="2"/>
  <c r="I166" i="2"/>
  <c r="I167" i="2"/>
  <c r="I168" i="2"/>
  <c r="I169" i="2"/>
  <c r="I333" i="2"/>
  <c r="I170" i="2"/>
  <c r="I171" i="2"/>
  <c r="I172" i="2"/>
  <c r="I334" i="2"/>
  <c r="I173" i="2"/>
  <c r="I174" i="2"/>
  <c r="I175" i="2"/>
  <c r="I176" i="2"/>
  <c r="I177" i="2"/>
  <c r="I178" i="2"/>
  <c r="I179" i="2"/>
  <c r="I335" i="2"/>
  <c r="I180" i="2"/>
  <c r="I181" i="2"/>
  <c r="I336" i="2"/>
  <c r="I182" i="2"/>
  <c r="I337" i="2"/>
  <c r="I183" i="2"/>
  <c r="I184" i="2"/>
  <c r="I338" i="2"/>
  <c r="I339" i="2"/>
  <c r="I340" i="2"/>
  <c r="I185" i="2"/>
  <c r="I186" i="2"/>
  <c r="I187" i="2"/>
  <c r="I188" i="2"/>
  <c r="I189" i="2"/>
  <c r="I190" i="2"/>
  <c r="I341" i="2"/>
  <c r="I191" i="2"/>
  <c r="I192" i="2"/>
  <c r="I342" i="2"/>
  <c r="I193" i="2"/>
  <c r="I343" i="2"/>
  <c r="I194" i="2"/>
  <c r="I195" i="2"/>
  <c r="I196" i="2"/>
  <c r="I197" i="2"/>
  <c r="I198" i="2"/>
  <c r="I199" i="2"/>
  <c r="I200" i="2"/>
  <c r="I201" i="2"/>
  <c r="I202" i="2"/>
  <c r="I203" i="2"/>
  <c r="I344" i="2"/>
  <c r="I345" i="2"/>
  <c r="I204" i="2"/>
  <c r="I346" i="2"/>
  <c r="I347" i="2"/>
  <c r="I205" i="2"/>
  <c r="I206" i="2"/>
  <c r="I207" i="2"/>
  <c r="I348" i="2"/>
  <c r="I208" i="2"/>
  <c r="I349" i="2"/>
  <c r="I209" i="2"/>
  <c r="I210" i="2"/>
  <c r="I350" i="2"/>
  <c r="I211" i="2"/>
  <c r="I351" i="2"/>
  <c r="I352" i="2"/>
  <c r="I212" i="2"/>
  <c r="I213" i="2"/>
  <c r="I353" i="2"/>
  <c r="I214" i="2"/>
  <c r="I215" i="2"/>
  <c r="I354" i="2"/>
  <c r="I216" i="2"/>
  <c r="I217" i="2"/>
  <c r="I218" i="2"/>
  <c r="I219" i="2"/>
  <c r="I220" i="2"/>
  <c r="I355" i="2"/>
  <c r="I356" i="2"/>
  <c r="I221" i="2"/>
  <c r="I357" i="2"/>
  <c r="I222" i="2"/>
  <c r="I223" i="2"/>
  <c r="I358" i="2"/>
  <c r="I224" i="2"/>
  <c r="I359" i="2"/>
  <c r="I225" i="2"/>
  <c r="I360" i="2"/>
  <c r="I361" i="2"/>
  <c r="I226" i="2"/>
  <c r="I362" i="2"/>
  <c r="I363" i="2"/>
  <c r="I364" i="2"/>
  <c r="I227" i="2"/>
  <c r="I365" i="2"/>
  <c r="I366" i="2"/>
  <c r="I367" i="2"/>
  <c r="I368" i="2"/>
  <c r="I369" i="2"/>
  <c r="I228" i="2"/>
  <c r="I370" i="2"/>
  <c r="I229" i="2"/>
  <c r="I230" i="2"/>
  <c r="I231" i="2"/>
  <c r="I371" i="2"/>
  <c r="I232" i="2"/>
  <c r="I233" i="2"/>
  <c r="I372" i="2"/>
  <c r="I234" i="2"/>
  <c r="I235" i="2"/>
  <c r="I373" i="2"/>
  <c r="I236" i="2"/>
  <c r="I237" i="2"/>
  <c r="I374" i="2"/>
  <c r="I375" i="2"/>
  <c r="I238" i="2"/>
  <c r="I376" i="2"/>
  <c r="I239" i="2"/>
  <c r="H240" i="2" a="1"/>
  <c r="H240" i="2" s="1"/>
  <c r="H2" i="2" a="1"/>
  <c r="H2" i="2" s="1"/>
  <c r="H241" i="2" a="1"/>
  <c r="H241" i="2" s="1"/>
  <c r="H3" i="2" a="1"/>
  <c r="H3" i="2" s="1"/>
  <c r="H4" i="2" a="1"/>
  <c r="H4" i="2" s="1"/>
  <c r="H242" i="2" a="1"/>
  <c r="H242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243" i="2" a="1"/>
  <c r="H243" i="2" s="1"/>
  <c r="H244" i="2" a="1"/>
  <c r="H244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245" i="2" a="1"/>
  <c r="H245" i="2" s="1"/>
  <c r="H17" i="2" a="1"/>
  <c r="H17" i="2" s="1"/>
  <c r="H18" i="2" a="1"/>
  <c r="H18" i="2" s="1"/>
  <c r="H246" i="2" a="1"/>
  <c r="H246" i="2" s="1"/>
  <c r="H19" i="2" a="1"/>
  <c r="H19" i="2" s="1"/>
  <c r="H20" i="2" a="1"/>
  <c r="H20" i="2" s="1"/>
  <c r="H247" i="2" a="1"/>
  <c r="H247" i="2" s="1"/>
  <c r="H21" i="2" a="1"/>
  <c r="H21" i="2" s="1"/>
  <c r="H248" i="2" a="1"/>
  <c r="H248" i="2" s="1"/>
  <c r="H249" i="2" a="1"/>
  <c r="H249" i="2" s="1"/>
  <c r="H22" i="2" a="1"/>
  <c r="H22" i="2" s="1"/>
  <c r="H250" i="2" a="1"/>
  <c r="H250" i="2" s="1"/>
  <c r="H23" i="2" a="1"/>
  <c r="H23" i="2" s="1"/>
  <c r="H24" i="2" a="1"/>
  <c r="H24" i="2" s="1"/>
  <c r="H251" i="2" a="1"/>
  <c r="H251" i="2" s="1"/>
  <c r="H252" i="2" a="1"/>
  <c r="H252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253" i="2" a="1"/>
  <c r="H253" i="2"/>
  <c r="H32" i="2" a="1"/>
  <c r="H32" i="2" s="1"/>
  <c r="H33" i="2" a="1"/>
  <c r="H33" i="2" s="1"/>
  <c r="H34" i="2" a="1"/>
  <c r="H34" i="2" s="1"/>
  <c r="H35" i="2" a="1"/>
  <c r="H35" i="2" s="1"/>
  <c r="H254" i="2" a="1"/>
  <c r="H254" i="2" s="1"/>
  <c r="H36" i="2" a="1"/>
  <c r="H36" i="2" s="1"/>
  <c r="H255" i="2" a="1"/>
  <c r="H255" i="2" s="1"/>
  <c r="H37" i="2" a="1"/>
  <c r="H37" i="2"/>
  <c r="H38" i="2" a="1"/>
  <c r="H38" i="2" s="1"/>
  <c r="H256" i="2" a="1"/>
  <c r="H256" i="2" s="1"/>
  <c r="H257" i="2" a="1"/>
  <c r="H257" i="2" s="1"/>
  <c r="H39" i="2" a="1"/>
  <c r="H39" i="2"/>
  <c r="H258" i="2" a="1"/>
  <c r="H258" i="2" s="1"/>
  <c r="H40" i="2" a="1"/>
  <c r="H40" i="2" s="1"/>
  <c r="H259" i="2" a="1"/>
  <c r="H259" i="2" s="1"/>
  <c r="H260" i="2" a="1"/>
  <c r="H260" i="2" s="1"/>
  <c r="H41" i="2" a="1"/>
  <c r="H41" i="2" s="1"/>
  <c r="H42" i="2" a="1"/>
  <c r="H42" i="2" s="1"/>
  <c r="H261" i="2" a="1"/>
  <c r="H261" i="2" s="1"/>
  <c r="H43" i="2" a="1"/>
  <c r="H43" i="2" s="1"/>
  <c r="H262" i="2" a="1"/>
  <c r="H262" i="2" s="1"/>
  <c r="H44" i="2" a="1"/>
  <c r="H44" i="2" s="1"/>
  <c r="H45" i="2" a="1"/>
  <c r="H45" i="2" s="1"/>
  <c r="H46" i="2" a="1"/>
  <c r="H46" i="2" s="1"/>
  <c r="H263" i="2" a="1"/>
  <c r="H263" i="2" s="1"/>
  <c r="H47" i="2" a="1"/>
  <c r="H47" i="2" s="1"/>
  <c r="H48" i="2" a="1"/>
  <c r="H48" i="2" s="1"/>
  <c r="H49" i="2" a="1"/>
  <c r="H49" i="2" s="1"/>
  <c r="H264" i="2" a="1"/>
  <c r="H264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265" i="2" a="1"/>
  <c r="H265" i="2" s="1"/>
  <c r="H266" i="2" a="1"/>
  <c r="H266" i="2" s="1"/>
  <c r="H55" i="2" a="1"/>
  <c r="H55" i="2" s="1"/>
  <c r="H56" i="2" a="1"/>
  <c r="H56" i="2" s="1"/>
  <c r="H57" i="2" a="1"/>
  <c r="H57" i="2" s="1"/>
  <c r="H58" i="2" a="1"/>
  <c r="H58" i="2" s="1"/>
  <c r="H267" i="2" a="1"/>
  <c r="H267" i="2" s="1"/>
  <c r="H59" i="2" a="1"/>
  <c r="H59" i="2" s="1"/>
  <c r="H60" i="2" a="1"/>
  <c r="H60" i="2" s="1"/>
  <c r="H268" i="2" a="1"/>
  <c r="H268" i="2" s="1"/>
  <c r="H61" i="2" a="1"/>
  <c r="H61" i="2" s="1"/>
  <c r="H62" i="2" a="1"/>
  <c r="H62" i="2" s="1"/>
  <c r="H63" i="2" a="1"/>
  <c r="H63" i="2" s="1"/>
  <c r="H269" i="2" a="1"/>
  <c r="H269" i="2" s="1"/>
  <c r="H64" i="2" a="1"/>
  <c r="H64" i="2" s="1"/>
  <c r="H270" i="2" a="1"/>
  <c r="H270" i="2" s="1"/>
  <c r="H271" i="2" a="1"/>
  <c r="H271" i="2" s="1"/>
  <c r="H272" i="2" a="1"/>
  <c r="H272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273" i="2" a="1"/>
  <c r="H273" i="2" s="1"/>
  <c r="H73" i="2" a="1"/>
  <c r="H73" i="2" s="1"/>
  <c r="H74" i="2" a="1"/>
  <c r="H74" i="2" s="1"/>
  <c r="H75" i="2" a="1"/>
  <c r="H75" i="2" s="1"/>
  <c r="H274" i="2" a="1"/>
  <c r="H274" i="2" s="1"/>
  <c r="H76" i="2" a="1"/>
  <c r="H76" i="2" s="1"/>
  <c r="H77" i="2" a="1"/>
  <c r="H77" i="2" s="1"/>
  <c r="H275" i="2" a="1"/>
  <c r="H275" i="2" s="1"/>
  <c r="H276" i="2" a="1"/>
  <c r="H276" i="2" s="1"/>
  <c r="H277" i="2" a="1"/>
  <c r="H277" i="2" s="1"/>
  <c r="H78" i="2" a="1"/>
  <c r="H78" i="2" s="1"/>
  <c r="H79" i="2" a="1"/>
  <c r="H79" i="2" s="1"/>
  <c r="H278" i="2" a="1"/>
  <c r="H278" i="2" s="1"/>
  <c r="H80" i="2" a="1"/>
  <c r="H80" i="2" s="1"/>
  <c r="H279" i="2" a="1"/>
  <c r="H279" i="2" s="1"/>
  <c r="H81" i="2" a="1"/>
  <c r="H81" i="2" s="1"/>
  <c r="H82" i="2" a="1"/>
  <c r="H82" i="2" s="1"/>
  <c r="H83" i="2" a="1"/>
  <c r="H83" i="2" s="1"/>
  <c r="H84" i="2" a="1"/>
  <c r="H84" i="2" s="1"/>
  <c r="H280" i="2" a="1"/>
  <c r="H280" i="2" s="1"/>
  <c r="H281" i="2" a="1"/>
  <c r="H281" i="2" s="1"/>
  <c r="H85" i="2" a="1"/>
  <c r="H85" i="2" s="1"/>
  <c r="H86" i="2" a="1"/>
  <c r="H86" i="2" s="1"/>
  <c r="H87" i="2" a="1"/>
  <c r="H87" i="2" s="1"/>
  <c r="H282" i="2" a="1"/>
  <c r="H282" i="2" s="1"/>
  <c r="H283" i="2" a="1"/>
  <c r="H283" i="2"/>
  <c r="H284" i="2" a="1"/>
  <c r="H284" i="2" s="1"/>
  <c r="H285" i="2" a="1"/>
  <c r="H285" i="2" s="1"/>
  <c r="H88" i="2" a="1"/>
  <c r="H88" i="2" s="1"/>
  <c r="H89" i="2" a="1"/>
  <c r="H89" i="2" s="1"/>
  <c r="H286" i="2" a="1"/>
  <c r="H286" i="2" s="1"/>
  <c r="H90" i="2" a="1"/>
  <c r="H90" i="2"/>
  <c r="H287" i="2" a="1"/>
  <c r="H287" i="2" s="1"/>
  <c r="H288" i="2" a="1"/>
  <c r="H288" i="2" s="1"/>
  <c r="H289" i="2" a="1"/>
  <c r="H289" i="2" s="1"/>
  <c r="H91" i="2" a="1"/>
  <c r="H91" i="2" s="1"/>
  <c r="H92" i="2" a="1"/>
  <c r="H92" i="2" s="1"/>
  <c r="H93" i="2" a="1"/>
  <c r="H93" i="2" s="1"/>
  <c r="H94" i="2" a="1"/>
  <c r="H94" i="2" s="1"/>
  <c r="H290" i="2" a="1"/>
  <c r="H290" i="2" s="1"/>
  <c r="H95" i="2" a="1"/>
  <c r="H95" i="2" s="1"/>
  <c r="H291" i="2" a="1"/>
  <c r="H291" i="2" s="1"/>
  <c r="H96" i="2" a="1"/>
  <c r="H96" i="2" s="1"/>
  <c r="H97" i="2" a="1"/>
  <c r="H97" i="2" s="1"/>
  <c r="H98" i="2" a="1"/>
  <c r="H98" i="2" s="1"/>
  <c r="H99" i="2" a="1"/>
  <c r="H99" i="2" s="1"/>
  <c r="H292" i="2" a="1"/>
  <c r="H292" i="2" s="1"/>
  <c r="H293" i="2" a="1"/>
  <c r="H293" i="2" s="1"/>
  <c r="H100" i="2" a="1"/>
  <c r="H100" i="2" s="1"/>
  <c r="H294" i="2" a="1"/>
  <c r="H294" i="2" s="1"/>
  <c r="H295" i="2" a="1"/>
  <c r="H295" i="2" s="1"/>
  <c r="H296" i="2" a="1"/>
  <c r="H296" i="2" s="1"/>
  <c r="H101" i="2" a="1"/>
  <c r="H101" i="2" s="1"/>
  <c r="H297" i="2" a="1"/>
  <c r="H297" i="2" s="1"/>
  <c r="H102" i="2" a="1"/>
  <c r="H102" i="2" s="1"/>
  <c r="H298" i="2" a="1"/>
  <c r="H298" i="2" s="1"/>
  <c r="H299" i="2" a="1"/>
  <c r="H299" i="2" s="1"/>
  <c r="H103" i="2" a="1"/>
  <c r="H103" i="2" s="1"/>
  <c r="H300" i="2" a="1"/>
  <c r="H300" i="2" s="1"/>
  <c r="H301" i="2" a="1"/>
  <c r="H301" i="2" s="1"/>
  <c r="H104" i="2" a="1"/>
  <c r="H104" i="2" s="1"/>
  <c r="H105" i="2" a="1"/>
  <c r="H105" i="2" s="1"/>
  <c r="H302" i="2" a="1"/>
  <c r="H302" i="2" s="1"/>
  <c r="H106" i="2" a="1"/>
  <c r="H106" i="2" s="1"/>
  <c r="H107" i="2" a="1"/>
  <c r="H107" i="2" s="1"/>
  <c r="H303" i="2" a="1"/>
  <c r="H303" i="2" s="1"/>
  <c r="H108" i="2" a="1"/>
  <c r="H108" i="2" s="1"/>
  <c r="H304" i="2" a="1"/>
  <c r="H304" i="2"/>
  <c r="H109" i="2" a="1"/>
  <c r="H109" i="2" s="1"/>
  <c r="H305" i="2" a="1"/>
  <c r="H305" i="2" s="1"/>
  <c r="H110" i="2" a="1"/>
  <c r="H110" i="2" s="1"/>
  <c r="H306" i="2" a="1"/>
  <c r="H306" i="2" s="1"/>
  <c r="H111" i="2" a="1"/>
  <c r="H111" i="2" s="1"/>
  <c r="H112" i="2" a="1"/>
  <c r="H112" i="2" s="1"/>
  <c r="H113" i="2" a="1"/>
  <c r="H113" i="2" s="1"/>
  <c r="H114" i="2" a="1"/>
  <c r="H114" i="2" s="1"/>
  <c r="H307" i="2" a="1"/>
  <c r="H307" i="2" s="1"/>
  <c r="H308" i="2" a="1"/>
  <c r="H308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309" i="2" a="1"/>
  <c r="H309" i="2" s="1"/>
  <c r="H310" i="2" a="1"/>
  <c r="H310" i="2" s="1"/>
  <c r="H120" i="2" a="1"/>
  <c r="H120" i="2" s="1"/>
  <c r="H121" i="2" a="1"/>
  <c r="H121" i="2" s="1"/>
  <c r="H122" i="2" a="1"/>
  <c r="H122" i="2" s="1"/>
  <c r="H311" i="2" a="1"/>
  <c r="H311" i="2" s="1"/>
  <c r="H123" i="2" a="1"/>
  <c r="H123" i="2" s="1"/>
  <c r="H312" i="2" a="1"/>
  <c r="H312" i="2" s="1"/>
  <c r="H124" i="2" a="1"/>
  <c r="H124" i="2" s="1"/>
  <c r="H125" i="2" a="1"/>
  <c r="H125" i="2" s="1"/>
  <c r="H126" i="2" a="1"/>
  <c r="H126" i="2" s="1"/>
  <c r="H127" i="2" a="1"/>
  <c r="H127" i="2" s="1"/>
  <c r="H313" i="2" a="1"/>
  <c r="H313" i="2"/>
  <c r="H128" i="2" a="1"/>
  <c r="H128" i="2" s="1"/>
  <c r="H129" i="2" a="1"/>
  <c r="H129" i="2" s="1"/>
  <c r="H314" i="2" a="1"/>
  <c r="H314" i="2" s="1"/>
  <c r="H130" i="2" a="1"/>
  <c r="H130" i="2"/>
  <c r="H131" i="2" a="1"/>
  <c r="H131" i="2" s="1"/>
  <c r="H132" i="2" a="1"/>
  <c r="H132" i="2" s="1"/>
  <c r="H133" i="2" a="1"/>
  <c r="H133" i="2" s="1"/>
  <c r="H315" i="2" a="1"/>
  <c r="H315" i="2" s="1"/>
  <c r="H134" i="2" a="1"/>
  <c r="H134" i="2" s="1"/>
  <c r="H135" i="2" a="1"/>
  <c r="H135" i="2"/>
  <c r="H316" i="2" a="1"/>
  <c r="H316" i="2" s="1"/>
  <c r="H317" i="2" a="1"/>
  <c r="H317" i="2" s="1"/>
  <c r="H136" i="2" a="1"/>
  <c r="H136" i="2" s="1"/>
  <c r="H137" i="2" a="1"/>
  <c r="H137" i="2" s="1"/>
  <c r="H138" i="2" a="1"/>
  <c r="H138" i="2" s="1"/>
  <c r="H139" i="2" a="1"/>
  <c r="H139" i="2" s="1"/>
  <c r="H318" i="2" a="1"/>
  <c r="H318" i="2" s="1"/>
  <c r="H140" i="2" a="1"/>
  <c r="H140" i="2" s="1"/>
  <c r="H319" i="2" a="1"/>
  <c r="H319" i="2" s="1"/>
  <c r="H141" i="2" a="1"/>
  <c r="H141" i="2"/>
  <c r="H320" i="2" a="1"/>
  <c r="H320" i="2" s="1"/>
  <c r="H142" i="2" a="1"/>
  <c r="H142" i="2" s="1"/>
  <c r="H143" i="2" a="1"/>
  <c r="H143" i="2" s="1"/>
  <c r="H321" i="2" a="1"/>
  <c r="H321" i="2" s="1"/>
  <c r="H144" i="2" a="1"/>
  <c r="H144" i="2" s="1"/>
  <c r="H322" i="2" a="1"/>
  <c r="H322" i="2" s="1"/>
  <c r="H145" i="2" a="1"/>
  <c r="H145" i="2" s="1"/>
  <c r="H323" i="2" a="1"/>
  <c r="H323" i="2" s="1"/>
  <c r="H146" i="2" a="1"/>
  <c r="H146" i="2" s="1"/>
  <c r="H147" i="2" a="1"/>
  <c r="H147" i="2" s="1"/>
  <c r="H148" i="2" a="1"/>
  <c r="H148" i="2" s="1"/>
  <c r="H324" i="2" a="1"/>
  <c r="H324" i="2" s="1"/>
  <c r="H325" i="2" a="1"/>
  <c r="H325" i="2" s="1"/>
  <c r="H326" i="2" a="1"/>
  <c r="H326" i="2" s="1"/>
  <c r="H149" i="2" a="1"/>
  <c r="H149" i="2" s="1"/>
  <c r="H327" i="2" a="1"/>
  <c r="H327" i="2" s="1"/>
  <c r="H150" i="2" a="1"/>
  <c r="H150" i="2" s="1"/>
  <c r="H151" i="2" a="1"/>
  <c r="H151" i="2" s="1"/>
  <c r="H152" i="2" a="1"/>
  <c r="H152" i="2" s="1"/>
  <c r="H153" i="2" a="1"/>
  <c r="H153" i="2" s="1"/>
  <c r="H154" i="2" a="1"/>
  <c r="H154" i="2" s="1"/>
  <c r="H155" i="2" a="1"/>
  <c r="H155" i="2" s="1"/>
  <c r="H328" i="2" a="1"/>
  <c r="H328" i="2" s="1"/>
  <c r="H156" i="2" a="1"/>
  <c r="H156" i="2" s="1"/>
  <c r="H157" i="2" a="1"/>
  <c r="H157" i="2" s="1"/>
  <c r="H158" i="2" a="1"/>
  <c r="H158" i="2" s="1"/>
  <c r="H329" i="2" a="1"/>
  <c r="H329" i="2" s="1"/>
  <c r="H159" i="2" a="1"/>
  <c r="H159" i="2"/>
  <c r="H330" i="2" a="1"/>
  <c r="H330" i="2" s="1"/>
  <c r="H160" i="2" a="1"/>
  <c r="H160" i="2" s="1"/>
  <c r="H161" i="2" a="1"/>
  <c r="H161" i="2" s="1"/>
  <c r="H162" i="2" a="1"/>
  <c r="H162" i="2" s="1"/>
  <c r="H331" i="2" a="1"/>
  <c r="H331" i="2" s="1"/>
  <c r="H163" i="2" a="1"/>
  <c r="H163" i="2" s="1"/>
  <c r="H164" i="2" a="1"/>
  <c r="H164" i="2" s="1"/>
  <c r="H332" i="2" a="1"/>
  <c r="H332" i="2" s="1"/>
  <c r="H165" i="2" a="1"/>
  <c r="H165" i="2" s="1"/>
  <c r="H166" i="2" a="1"/>
  <c r="H166" i="2"/>
  <c r="H167" i="2" a="1"/>
  <c r="H167" i="2" s="1"/>
  <c r="H168" i="2" a="1"/>
  <c r="H168" i="2" s="1"/>
  <c r="H169" i="2" a="1"/>
  <c r="H169" i="2" s="1"/>
  <c r="H333" i="2" a="1"/>
  <c r="H333" i="2" s="1"/>
  <c r="H170" i="2" a="1"/>
  <c r="H170" i="2" s="1"/>
  <c r="H171" i="2" a="1"/>
  <c r="H171" i="2"/>
  <c r="H172" i="2" a="1"/>
  <c r="H172" i="2" s="1"/>
  <c r="H334" i="2" a="1"/>
  <c r="H334" i="2" s="1"/>
  <c r="H173" i="2" a="1"/>
  <c r="H173" i="2" s="1"/>
  <c r="H174" i="2" a="1"/>
  <c r="H174" i="2"/>
  <c r="H175" i="2" a="1"/>
  <c r="H175" i="2" s="1"/>
  <c r="H176" i="2" a="1"/>
  <c r="H176" i="2" s="1"/>
  <c r="H177" i="2" a="1"/>
  <c r="H177" i="2" s="1"/>
  <c r="H178" i="2" a="1"/>
  <c r="H178" i="2" s="1"/>
  <c r="H179" i="2" a="1"/>
  <c r="H179" i="2" s="1"/>
  <c r="H335" i="2" a="1"/>
  <c r="H335" i="2" s="1"/>
  <c r="H180" i="2" a="1"/>
  <c r="H180" i="2" s="1"/>
  <c r="H181" i="2" a="1"/>
  <c r="H181" i="2" s="1"/>
  <c r="H336" i="2" a="1"/>
  <c r="H336" i="2" s="1"/>
  <c r="H182" i="2" a="1"/>
  <c r="H182" i="2" s="1"/>
  <c r="H337" i="2" a="1"/>
  <c r="H337" i="2" s="1"/>
  <c r="H183" i="2" a="1"/>
  <c r="H183" i="2" s="1"/>
  <c r="H184" i="2" a="1"/>
  <c r="H184" i="2" s="1"/>
  <c r="H338" i="2" a="1"/>
  <c r="H338" i="2" s="1"/>
  <c r="H339" i="2" a="1"/>
  <c r="H339" i="2" s="1"/>
  <c r="H340" i="2" a="1"/>
  <c r="H340" i="2" s="1"/>
  <c r="H185" i="2" a="1"/>
  <c r="H185" i="2" s="1"/>
  <c r="H186" i="2" a="1"/>
  <c r="H186" i="2" s="1"/>
  <c r="H187" i="2" a="1"/>
  <c r="H187" i="2" s="1"/>
  <c r="H188" i="2" a="1"/>
  <c r="H188" i="2" s="1"/>
  <c r="H189" i="2" a="1"/>
  <c r="H189" i="2" s="1"/>
  <c r="H190" i="2" a="1"/>
  <c r="H190" i="2" s="1"/>
  <c r="H341" i="2" a="1"/>
  <c r="H341" i="2" s="1"/>
  <c r="H191" i="2" a="1"/>
  <c r="H191" i="2" s="1"/>
  <c r="H192" i="2" a="1"/>
  <c r="H192" i="2" s="1"/>
  <c r="H342" i="2" a="1"/>
  <c r="H342" i="2" s="1"/>
  <c r="H193" i="2" a="1"/>
  <c r="H193" i="2" s="1"/>
  <c r="H343" i="2" a="1"/>
  <c r="H343" i="2" s="1"/>
  <c r="H194" i="2" a="1"/>
  <c r="H194" i="2" s="1"/>
  <c r="H195" i="2" a="1"/>
  <c r="H195" i="2" s="1"/>
  <c r="H196" i="2" a="1"/>
  <c r="H196" i="2" s="1"/>
  <c r="H197" i="2" a="1"/>
  <c r="H197" i="2" s="1"/>
  <c r="H198" i="2" a="1"/>
  <c r="H198" i="2"/>
  <c r="H199" i="2" a="1"/>
  <c r="H199" i="2" s="1"/>
  <c r="H200" i="2" a="1"/>
  <c r="H200" i="2"/>
  <c r="H201" i="2" a="1"/>
  <c r="H201" i="2" s="1"/>
  <c r="H202" i="2" a="1"/>
  <c r="H202" i="2" s="1"/>
  <c r="H203" i="2" a="1"/>
  <c r="H203" i="2" s="1"/>
  <c r="H344" i="2" a="1"/>
  <c r="H344" i="2" s="1"/>
  <c r="H345" i="2" a="1"/>
  <c r="H345" i="2" s="1"/>
  <c r="H204" i="2" a="1"/>
  <c r="H204" i="2" s="1"/>
  <c r="H346" i="2" a="1"/>
  <c r="H346" i="2" s="1"/>
  <c r="H347" i="2" a="1"/>
  <c r="H347" i="2" s="1"/>
  <c r="H205" i="2" a="1"/>
  <c r="H205" i="2" s="1"/>
  <c r="H206" i="2" a="1"/>
  <c r="H206" i="2" s="1"/>
  <c r="H207" i="2" a="1"/>
  <c r="H207" i="2" s="1"/>
  <c r="H348" i="2" a="1"/>
  <c r="H348" i="2" s="1"/>
  <c r="H208" i="2" a="1"/>
  <c r="H208" i="2" s="1"/>
  <c r="H349" i="2" a="1"/>
  <c r="H349" i="2" s="1"/>
  <c r="H209" i="2" a="1"/>
  <c r="H209" i="2"/>
  <c r="H210" i="2" a="1"/>
  <c r="H210" i="2" s="1"/>
  <c r="H350" i="2" a="1"/>
  <c r="H350" i="2" s="1"/>
  <c r="H211" i="2" a="1"/>
  <c r="H211" i="2" s="1"/>
  <c r="H351" i="2" a="1"/>
  <c r="H351" i="2"/>
  <c r="H352" i="2" a="1"/>
  <c r="H352" i="2" s="1"/>
  <c r="H212" i="2" a="1"/>
  <c r="H212" i="2" s="1"/>
  <c r="H213" i="2" a="1"/>
  <c r="H213" i="2" s="1"/>
  <c r="H353" i="2" a="1"/>
  <c r="H353" i="2" s="1"/>
  <c r="H214" i="2" a="1"/>
  <c r="H214" i="2" s="1"/>
  <c r="H215" i="2" a="1"/>
  <c r="H215" i="2" s="1"/>
  <c r="H354" i="2" a="1"/>
  <c r="H354" i="2" s="1"/>
  <c r="H216" i="2" a="1"/>
  <c r="H216" i="2" s="1"/>
  <c r="H217" i="2" a="1"/>
  <c r="H217" i="2" s="1"/>
  <c r="H218" i="2" a="1"/>
  <c r="H218" i="2" s="1"/>
  <c r="H219" i="2" a="1"/>
  <c r="H219" i="2" s="1"/>
  <c r="H220" i="2" a="1"/>
  <c r="H220" i="2" s="1"/>
  <c r="H355" i="2" a="1"/>
  <c r="H355" i="2" s="1"/>
  <c r="H356" i="2" a="1"/>
  <c r="H356" i="2" s="1"/>
  <c r="H221" i="2" a="1"/>
  <c r="H221" i="2" s="1"/>
  <c r="H357" i="2" a="1"/>
  <c r="H357" i="2" s="1"/>
  <c r="H222" i="2" a="1"/>
  <c r="H222" i="2" s="1"/>
  <c r="H223" i="2" a="1"/>
  <c r="H223" i="2" s="1"/>
  <c r="H358" i="2" a="1"/>
  <c r="H358" i="2" s="1"/>
  <c r="H224" i="2" a="1"/>
  <c r="H224" i="2" s="1"/>
  <c r="H359" i="2" a="1"/>
  <c r="H359" i="2" s="1"/>
  <c r="H225" i="2" a="1"/>
  <c r="H225" i="2" s="1"/>
  <c r="H360" i="2" a="1"/>
  <c r="H360" i="2" s="1"/>
  <c r="H361" i="2" a="1"/>
  <c r="H361" i="2" s="1"/>
  <c r="H226" i="2" a="1"/>
  <c r="H226" i="2" s="1"/>
  <c r="H362" i="2" a="1"/>
  <c r="H362" i="2" s="1"/>
  <c r="H363" i="2" a="1"/>
  <c r="H363" i="2" s="1"/>
  <c r="H364" i="2" a="1"/>
  <c r="H364" i="2" s="1"/>
  <c r="H227" i="2" a="1"/>
  <c r="H227" i="2" s="1"/>
  <c r="H365" i="2" a="1"/>
  <c r="H365" i="2" s="1"/>
  <c r="H366" i="2" a="1"/>
  <c r="H366" i="2" s="1"/>
  <c r="H367" i="2" a="1"/>
  <c r="H367" i="2" s="1"/>
  <c r="H368" i="2" a="1"/>
  <c r="H368" i="2" s="1"/>
  <c r="H369" i="2" a="1"/>
  <c r="H369" i="2" s="1"/>
  <c r="H228" i="2" a="1"/>
  <c r="H228" i="2" s="1"/>
  <c r="H370" i="2" a="1"/>
  <c r="H370" i="2" s="1"/>
  <c r="H229" i="2" a="1"/>
  <c r="H229" i="2" s="1"/>
  <c r="H230" i="2" a="1"/>
  <c r="H230" i="2" s="1"/>
  <c r="H231" i="2" a="1"/>
  <c r="H231" i="2" s="1"/>
  <c r="H371" i="2" a="1"/>
  <c r="H371" i="2" s="1"/>
  <c r="H232" i="2" a="1"/>
  <c r="H232" i="2" s="1"/>
  <c r="H233" i="2" a="1"/>
  <c r="H233" i="2" s="1"/>
  <c r="H372" i="2" a="1"/>
  <c r="H372" i="2" s="1"/>
  <c r="H234" i="2" a="1"/>
  <c r="H234" i="2" s="1"/>
  <c r="H235" i="2" a="1"/>
  <c r="H235" i="2" s="1"/>
  <c r="H373" i="2" a="1"/>
  <c r="H373" i="2" s="1"/>
  <c r="H236" i="2" a="1"/>
  <c r="H236" i="2" s="1"/>
  <c r="H237" i="2" a="1"/>
  <c r="H237" i="2" s="1"/>
  <c r="H374" i="2" a="1"/>
  <c r="H374" i="2" s="1"/>
  <c r="H375" i="2" a="1"/>
  <c r="H375" i="2" s="1"/>
  <c r="H238" i="2" a="1"/>
  <c r="H238" i="2" s="1"/>
  <c r="H376" i="2" a="1"/>
  <c r="H376" i="2" s="1"/>
  <c r="H239" i="2" a="1"/>
  <c r="H239" i="2" s="1"/>
  <c r="G240" i="2"/>
  <c r="G2" i="2"/>
  <c r="G241" i="2"/>
  <c r="G3" i="2"/>
  <c r="G4" i="2"/>
  <c r="G242" i="2"/>
  <c r="G5" i="2"/>
  <c r="G6" i="2"/>
  <c r="G7" i="2"/>
  <c r="G8" i="2"/>
  <c r="G9" i="2"/>
  <c r="G243" i="2"/>
  <c r="G244" i="2"/>
  <c r="G10" i="2"/>
  <c r="G11" i="2"/>
  <c r="G12" i="2"/>
  <c r="G13" i="2"/>
  <c r="G14" i="2"/>
  <c r="G15" i="2"/>
  <c r="G16" i="2"/>
  <c r="G245" i="2"/>
  <c r="G17" i="2"/>
  <c r="G18" i="2"/>
  <c r="G246" i="2"/>
  <c r="G19" i="2"/>
  <c r="G20" i="2"/>
  <c r="G247" i="2"/>
  <c r="G21" i="2"/>
  <c r="G248" i="2"/>
  <c r="G249" i="2"/>
  <c r="G22" i="2"/>
  <c r="G250" i="2"/>
  <c r="G23" i="2"/>
  <c r="G24" i="2"/>
  <c r="G251" i="2"/>
  <c r="G252" i="2"/>
  <c r="G25" i="2"/>
  <c r="G26" i="2"/>
  <c r="G27" i="2"/>
  <c r="G28" i="2"/>
  <c r="G29" i="2"/>
  <c r="G30" i="2"/>
  <c r="G31" i="2"/>
  <c r="G253" i="2"/>
  <c r="G32" i="2"/>
  <c r="G33" i="2"/>
  <c r="G34" i="2"/>
  <c r="G35" i="2"/>
  <c r="G254" i="2"/>
  <c r="G36" i="2"/>
  <c r="G255" i="2"/>
  <c r="G37" i="2"/>
  <c r="G38" i="2"/>
  <c r="G256" i="2"/>
  <c r="G257" i="2"/>
  <c r="G39" i="2"/>
  <c r="G258" i="2"/>
  <c r="G40" i="2"/>
  <c r="G259" i="2"/>
  <c r="G260" i="2"/>
  <c r="G41" i="2"/>
  <c r="G42" i="2"/>
  <c r="G261" i="2"/>
  <c r="G43" i="2"/>
  <c r="G262" i="2"/>
  <c r="G44" i="2"/>
  <c r="G45" i="2"/>
  <c r="G46" i="2"/>
  <c r="G263" i="2"/>
  <c r="G47" i="2"/>
  <c r="G48" i="2"/>
  <c r="G49" i="2"/>
  <c r="G264" i="2"/>
  <c r="G50" i="2"/>
  <c r="G51" i="2"/>
  <c r="G52" i="2"/>
  <c r="G53" i="2"/>
  <c r="G54" i="2"/>
  <c r="G265" i="2"/>
  <c r="G266" i="2"/>
  <c r="G55" i="2"/>
  <c r="G56" i="2"/>
  <c r="G57" i="2"/>
  <c r="G58" i="2"/>
  <c r="G267" i="2"/>
  <c r="G59" i="2"/>
  <c r="G60" i="2"/>
  <c r="G268" i="2"/>
  <c r="G61" i="2"/>
  <c r="G62" i="2"/>
  <c r="G63" i="2"/>
  <c r="G269" i="2"/>
  <c r="G64" i="2"/>
  <c r="G270" i="2"/>
  <c r="G271" i="2"/>
  <c r="G272" i="2"/>
  <c r="G65" i="2"/>
  <c r="G66" i="2"/>
  <c r="G67" i="2"/>
  <c r="G68" i="2"/>
  <c r="G69" i="2"/>
  <c r="G70" i="2"/>
  <c r="G71" i="2"/>
  <c r="G72" i="2"/>
  <c r="G273" i="2"/>
  <c r="G73" i="2"/>
  <c r="G74" i="2"/>
  <c r="G75" i="2"/>
  <c r="G274" i="2"/>
  <c r="G76" i="2"/>
  <c r="G77" i="2"/>
  <c r="G275" i="2"/>
  <c r="G276" i="2"/>
  <c r="G277" i="2"/>
  <c r="G78" i="2"/>
  <c r="G79" i="2"/>
  <c r="G278" i="2"/>
  <c r="G80" i="2"/>
  <c r="G279" i="2"/>
  <c r="G81" i="2"/>
  <c r="G82" i="2"/>
  <c r="G83" i="2"/>
  <c r="G84" i="2"/>
  <c r="G280" i="2"/>
  <c r="G281" i="2"/>
  <c r="G85" i="2"/>
  <c r="G86" i="2"/>
  <c r="G87" i="2"/>
  <c r="G282" i="2"/>
  <c r="G283" i="2"/>
  <c r="G284" i="2"/>
  <c r="G285" i="2"/>
  <c r="G88" i="2"/>
  <c r="G89" i="2"/>
  <c r="G286" i="2"/>
  <c r="G90" i="2"/>
  <c r="G287" i="2"/>
  <c r="G288" i="2"/>
  <c r="G289" i="2"/>
  <c r="G91" i="2"/>
  <c r="G92" i="2"/>
  <c r="G93" i="2"/>
  <c r="G94" i="2"/>
  <c r="G290" i="2"/>
  <c r="G95" i="2"/>
  <c r="G291" i="2"/>
  <c r="G96" i="2"/>
  <c r="G97" i="2"/>
  <c r="G98" i="2"/>
  <c r="G99" i="2"/>
  <c r="G292" i="2"/>
  <c r="G293" i="2"/>
  <c r="G100" i="2"/>
  <c r="G294" i="2"/>
  <c r="G295" i="2"/>
  <c r="G296" i="2"/>
  <c r="G101" i="2"/>
  <c r="G297" i="2"/>
  <c r="G102" i="2"/>
  <c r="G298" i="2"/>
  <c r="G299" i="2"/>
  <c r="G103" i="2"/>
  <c r="G300" i="2"/>
  <c r="G301" i="2"/>
  <c r="G104" i="2"/>
  <c r="G105" i="2"/>
  <c r="G302" i="2"/>
  <c r="G106" i="2"/>
  <c r="G107" i="2"/>
  <c r="G303" i="2"/>
  <c r="G108" i="2"/>
  <c r="G304" i="2"/>
  <c r="G109" i="2"/>
  <c r="G305" i="2"/>
  <c r="G110" i="2"/>
  <c r="G306" i="2"/>
  <c r="G111" i="2"/>
  <c r="G112" i="2"/>
  <c r="G113" i="2"/>
  <c r="G114" i="2"/>
  <c r="G307" i="2"/>
  <c r="G308" i="2"/>
  <c r="G115" i="2"/>
  <c r="G116" i="2"/>
  <c r="G117" i="2"/>
  <c r="G118" i="2"/>
  <c r="G119" i="2"/>
  <c r="G309" i="2"/>
  <c r="G310" i="2"/>
  <c r="G120" i="2"/>
  <c r="G121" i="2"/>
  <c r="G122" i="2"/>
  <c r="G311" i="2"/>
  <c r="G123" i="2"/>
  <c r="G312" i="2"/>
  <c r="G124" i="2"/>
  <c r="G125" i="2"/>
  <c r="G126" i="2"/>
  <c r="G127" i="2"/>
  <c r="G313" i="2"/>
  <c r="G128" i="2"/>
  <c r="G129" i="2"/>
  <c r="G314" i="2"/>
  <c r="G130" i="2"/>
  <c r="G131" i="2"/>
  <c r="G132" i="2"/>
  <c r="G133" i="2"/>
  <c r="G315" i="2"/>
  <c r="G134" i="2"/>
  <c r="G135" i="2"/>
  <c r="G316" i="2"/>
  <c r="G317" i="2"/>
  <c r="G136" i="2"/>
  <c r="G137" i="2"/>
  <c r="G138" i="2"/>
  <c r="G139" i="2"/>
  <c r="G318" i="2"/>
  <c r="G140" i="2"/>
  <c r="G319" i="2"/>
  <c r="G141" i="2"/>
  <c r="G320" i="2"/>
  <c r="G142" i="2"/>
  <c r="G143" i="2"/>
  <c r="G321" i="2"/>
  <c r="G144" i="2"/>
  <c r="G322" i="2"/>
  <c r="G145" i="2"/>
  <c r="G323" i="2"/>
  <c r="G146" i="2"/>
  <c r="G147" i="2"/>
  <c r="G148" i="2"/>
  <c r="G324" i="2"/>
  <c r="G325" i="2"/>
  <c r="G326" i="2"/>
  <c r="G149" i="2"/>
  <c r="G327" i="2"/>
  <c r="G150" i="2"/>
  <c r="G151" i="2"/>
  <c r="G152" i="2"/>
  <c r="G153" i="2"/>
  <c r="G154" i="2"/>
  <c r="G155" i="2"/>
  <c r="G328" i="2"/>
  <c r="G156" i="2"/>
  <c r="G157" i="2"/>
  <c r="G158" i="2"/>
  <c r="G329" i="2"/>
  <c r="G159" i="2"/>
  <c r="G330" i="2"/>
  <c r="G160" i="2"/>
  <c r="G161" i="2"/>
  <c r="G162" i="2"/>
  <c r="G331" i="2"/>
  <c r="G163" i="2"/>
  <c r="G164" i="2"/>
  <c r="G332" i="2"/>
  <c r="G165" i="2"/>
  <c r="G166" i="2"/>
  <c r="G167" i="2"/>
  <c r="G168" i="2"/>
  <c r="G169" i="2"/>
  <c r="G333" i="2"/>
  <c r="G170" i="2"/>
  <c r="G171" i="2"/>
  <c r="G172" i="2"/>
  <c r="G334" i="2"/>
  <c r="G173" i="2"/>
  <c r="G174" i="2"/>
  <c r="G175" i="2"/>
  <c r="G176" i="2"/>
  <c r="G177" i="2"/>
  <c r="G178" i="2"/>
  <c r="G179" i="2"/>
  <c r="G335" i="2"/>
  <c r="G180" i="2"/>
  <c r="G181" i="2"/>
  <c r="G336" i="2"/>
  <c r="G182" i="2"/>
  <c r="G337" i="2"/>
  <c r="G183" i="2"/>
  <c r="G184" i="2"/>
  <c r="G338" i="2"/>
  <c r="G339" i="2"/>
  <c r="G340" i="2"/>
  <c r="G185" i="2"/>
  <c r="G186" i="2"/>
  <c r="G187" i="2"/>
  <c r="G188" i="2"/>
  <c r="G189" i="2"/>
  <c r="G190" i="2"/>
  <c r="G341" i="2"/>
  <c r="G191" i="2"/>
  <c r="G192" i="2"/>
  <c r="G342" i="2"/>
  <c r="G193" i="2"/>
  <c r="G343" i="2"/>
  <c r="G194" i="2"/>
  <c r="G195" i="2"/>
  <c r="G196" i="2"/>
  <c r="G197" i="2"/>
  <c r="G198" i="2"/>
  <c r="G199" i="2"/>
  <c r="G200" i="2"/>
  <c r="G201" i="2"/>
  <c r="G202" i="2"/>
  <c r="G203" i="2"/>
  <c r="G344" i="2"/>
  <c r="G345" i="2"/>
  <c r="G204" i="2"/>
  <c r="G346" i="2"/>
  <c r="G347" i="2"/>
  <c r="G205" i="2"/>
  <c r="G206" i="2"/>
  <c r="G207" i="2"/>
  <c r="G348" i="2"/>
  <c r="G208" i="2"/>
  <c r="G349" i="2"/>
  <c r="G209" i="2"/>
  <c r="G210" i="2"/>
  <c r="G350" i="2"/>
  <c r="G211" i="2"/>
  <c r="G351" i="2"/>
  <c r="G352" i="2"/>
  <c r="G212" i="2"/>
  <c r="G213" i="2"/>
  <c r="G353" i="2"/>
  <c r="G214" i="2"/>
  <c r="G215" i="2"/>
  <c r="G354" i="2"/>
  <c r="G216" i="2"/>
  <c r="G217" i="2"/>
  <c r="G218" i="2"/>
  <c r="G219" i="2"/>
  <c r="G220" i="2"/>
  <c r="G355" i="2"/>
  <c r="G356" i="2"/>
  <c r="G221" i="2"/>
  <c r="G357" i="2"/>
  <c r="G222" i="2"/>
  <c r="G223" i="2"/>
  <c r="G358" i="2"/>
  <c r="G224" i="2"/>
  <c r="G359" i="2"/>
  <c r="G225" i="2"/>
  <c r="G360" i="2"/>
  <c r="G361" i="2"/>
  <c r="G226" i="2"/>
  <c r="G362" i="2"/>
  <c r="G363" i="2"/>
  <c r="G364" i="2"/>
  <c r="G227" i="2"/>
  <c r="G365" i="2"/>
  <c r="G366" i="2"/>
  <c r="G367" i="2"/>
  <c r="G368" i="2"/>
  <c r="G369" i="2"/>
  <c r="G228" i="2"/>
  <c r="G370" i="2"/>
  <c r="G229" i="2"/>
  <c r="G230" i="2"/>
  <c r="G231" i="2"/>
  <c r="G371" i="2"/>
  <c r="G232" i="2"/>
  <c r="G233" i="2"/>
  <c r="G372" i="2"/>
  <c r="G234" i="2"/>
  <c r="G235" i="2"/>
  <c r="G373" i="2"/>
  <c r="G236" i="2"/>
  <c r="G237" i="2"/>
  <c r="G374" i="2"/>
  <c r="G375" i="2"/>
  <c r="G238" i="2"/>
  <c r="G376" i="2"/>
  <c r="G239" i="2"/>
  <c r="A23" i="1"/>
  <c r="A16" i="1"/>
  <c r="A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<sst xmlns="http://schemas.openxmlformats.org/spreadsheetml/2006/main" count="1156" uniqueCount="785">
  <si>
    <t>Instructions</t>
  </si>
  <si>
    <t>📘 INSTRUCTIONS FOR DAY 08 – Logical Functions (University Course Tracker)</t>
  </si>
  <si>
    <t>Today’s challenge uses a student performance dataset from a university's admin team.</t>
  </si>
  <si>
    <t>Your job is to help them assess student progress by applying logical formulas.</t>
  </si>
  <si>
    <t>✅ Task 1 – Determine Pass Status</t>
  </si>
  <si>
    <t>Use the IF function:</t>
  </si>
  <si>
    <t>✅ Task 2 – Assign Grade Category</t>
  </si>
  <si>
    <t>Use the IFS function with these rules:</t>
  </si>
  <si>
    <t>- Score &gt;= 85 → 'Distinction'</t>
  </si>
  <si>
    <t>- Score &gt;= 60 → 'Pass'</t>
  </si>
  <si>
    <t>- Score &lt; 60  → 'Fail'</t>
  </si>
  <si>
    <t>✅ Task 3 – Flag Students Needing Intervention</t>
  </si>
  <si>
    <t>Use IF with AND/OR:</t>
  </si>
  <si>
    <t>Flag students as needing intervention if:</t>
  </si>
  <si>
    <t>- Attendance is less than 75%</t>
  </si>
  <si>
    <t>OR Final Exam Score is less than 50</t>
  </si>
  <si>
    <t>📌 BONUS:</t>
  </si>
  <si>
    <t>1. Use Conditional Formatting on 'Intervention Flag':</t>
  </si>
  <si>
    <t xml:space="preserve">   - Red Fill for 'Needs Intervention'</t>
  </si>
  <si>
    <t xml:space="preserve">   - Green Fill for 'OK'</t>
  </si>
  <si>
    <t>2. Sort the dataset so that flagged students appear at the top</t>
  </si>
  <si>
    <t>That’s it! You’ve just used logical functions to support a real student success workflow!</t>
  </si>
  <si>
    <t>Student ID</t>
  </si>
  <si>
    <t>Name</t>
  </si>
  <si>
    <t>Course</t>
  </si>
  <si>
    <t>Attendance (%)</t>
  </si>
  <si>
    <t>Test Score</t>
  </si>
  <si>
    <t>Final Exam Score</t>
  </si>
  <si>
    <t>Pass Status</t>
  </si>
  <si>
    <t>Grade Category</t>
  </si>
  <si>
    <t>Intervention Flag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</si>
  <si>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</si>
  <si>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</si>
  <si>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</si>
  <si>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</si>
  <si>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</si>
  <si>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</si>
  <si>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</si>
  <si>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</si>
  <si>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</si>
  <si>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</si>
  <si>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</si>
  <si>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</si>
  <si>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</si>
  <si>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</si>
  <si>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</si>
  <si>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</si>
  <si>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</si>
  <si>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</si>
  <si>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</si>
  <si>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</si>
  <si>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</si>
  <si>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</si>
  <si>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</si>
  <si>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</si>
  <si>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</si>
  <si>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</si>
  <si>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</si>
  <si>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</si>
  <si>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</si>
  <si>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</si>
  <si>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</si>
  <si>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</si>
  <si>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</si>
  <si>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</si>
  <si>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</si>
  <si>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</si>
  <si>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</si>
  <si>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</si>
  <si>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</si>
  <si>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</si>
  <si>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</si>
  <si>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</si>
  <si>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</si>
  <si>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</si>
  <si>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</si>
  <si>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</si>
  <si>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</si>
  <si>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</si>
  <si>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</si>
  <si>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</si>
  <si>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</si>
  <si>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</si>
  <si>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</si>
  <si>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</si>
  <si>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</si>
  <si>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</si>
  <si>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</si>
  <si>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</si>
  <si>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</si>
  <si>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</si>
  <si>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</si>
  <si>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</si>
  <si>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</si>
  <si>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</si>
  <si>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</si>
  <si>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</si>
  <si>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</si>
  <si>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</si>
  <si>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</si>
  <si>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</si>
  <si>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</si>
  <si>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</si>
  <si>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</si>
  <si>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</si>
  <si>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</si>
  <si>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</si>
  <si>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</si>
  <si>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</si>
  <si>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</si>
  <si>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</si>
  <si>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</si>
  <si>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</si>
  <si>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</si>
  <si>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</si>
  <si>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</si>
  <si>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</si>
  <si>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</si>
  <si>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</si>
  <si>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</si>
  <si>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</si>
  <si>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</si>
  <si>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</si>
  <si>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</si>
  <si>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</si>
  <si>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</si>
  <si>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</si>
  <si>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</si>
  <si>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</si>
  <si>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</si>
  <si>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</si>
  <si>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</si>
  <si>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</si>
  <si>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</si>
  <si>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</si>
  <si>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</si>
  <si>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</si>
  <si>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</si>
  <si>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</si>
  <si>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</si>
  <si>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</si>
  <si>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</si>
  <si>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</si>
  <si>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</si>
  <si>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</si>
  <si>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</si>
  <si>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</si>
  <si>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</si>
  <si>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</si>
  <si>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</si>
  <si>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</si>
  <si>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</si>
  <si>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</si>
  <si>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</si>
  <si>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</si>
  <si>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</si>
  <si>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</si>
  <si>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</si>
  <si>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</si>
  <si>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</si>
  <si>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</si>
  <si>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</si>
  <si>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</si>
  <si>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</si>
  <si>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</si>
  <si>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</si>
  <si>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</si>
  <si>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</si>
  <si>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</si>
  <si>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</si>
  <si>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</si>
  <si>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</si>
  <si>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</si>
  <si>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</si>
  <si>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</si>
  <si>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</si>
  <si>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</si>
  <si>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</si>
  <si>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</si>
  <si>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</si>
  <si>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</si>
  <si>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</si>
  <si>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</si>
  <si>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</si>
  <si>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</si>
  <si>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</si>
  <si>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</si>
  <si>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</si>
  <si>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</si>
  <si>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</si>
  <si>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</si>
  <si>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</si>
  <si>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</si>
  <si>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</si>
  <si>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</si>
  <si>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</si>
  <si>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</si>
  <si>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</si>
  <si>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</si>
  <si>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</si>
  <si>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</si>
  <si>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</si>
  <si>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</si>
  <si>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</si>
  <si>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</si>
  <si>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</si>
  <si>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</si>
  <si>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</si>
  <si>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</si>
  <si>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</si>
  <si>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</si>
  <si>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</si>
  <si>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</si>
  <si>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</si>
  <si>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</si>
  <si>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</si>
  <si>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</si>
  <si>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</si>
  <si>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</si>
  <si>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</si>
  <si>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</si>
  <si>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</si>
  <si>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</si>
  <si>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</si>
  <si>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</si>
  <si>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</si>
  <si>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</si>
  <si>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</si>
  <si>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</si>
  <si>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</si>
  <si>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</si>
  <si>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</si>
  <si>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</si>
  <si>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</si>
  <si>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</si>
  <si>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</si>
  <si>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</si>
  <si>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</si>
  <si>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</si>
  <si>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</si>
  <si>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</si>
  <si>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</si>
  <si>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</si>
  <si>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</si>
  <si>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</si>
  <si>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</si>
  <si>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</si>
  <si>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</si>
  <si>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</si>
  <si>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</si>
  <si>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</si>
  <si>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</si>
  <si>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</si>
  <si>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</si>
  <si>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</si>
  <si>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</si>
  <si>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</si>
  <si>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</si>
  <si>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</si>
  <si>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</si>
  <si>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</si>
  <si>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</si>
  <si>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</si>
  <si>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</si>
  <si>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</si>
  <si>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</si>
  <si>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</si>
  <si>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</si>
  <si>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</si>
  <si>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</si>
  <si>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</si>
  <si>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</si>
  <si>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</si>
  <si>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</si>
  <si>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</si>
  <si>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</si>
  <si>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</si>
  <si>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</si>
  <si>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</si>
  <si>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</si>
  <si>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</si>
  <si>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</si>
  <si>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</si>
  <si>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</si>
  <si>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</si>
  <si>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</si>
  <si>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</si>
  <si>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</si>
  <si>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</si>
  <si>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</si>
  <si>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</si>
  <si>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</si>
  <si>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</si>
  <si>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</si>
  <si>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</si>
  <si>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</si>
  <si>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</si>
  <si>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</si>
  <si>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</si>
  <si>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</si>
  <si>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</si>
  <si>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</si>
  <si>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</si>
  <si>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</si>
  <si>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</si>
  <si>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</si>
  <si>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</si>
  <si>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</si>
  <si>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</si>
  <si>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</si>
  <si>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</si>
  <si>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</si>
  <si>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</si>
  <si>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</si>
  <si>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</si>
  <si>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</si>
  <si>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</si>
  <si>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</si>
  <si>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</si>
  <si>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</si>
  <si>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</si>
  <si>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</si>
  <si>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</si>
  <si>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</si>
  <si>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</si>
  <si>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</si>
  <si>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</si>
  <si>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</si>
  <si>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</si>
  <si>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</si>
  <si>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</si>
  <si>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</si>
  <si>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</si>
  <si>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</si>
  <si>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</si>
  <si>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</si>
  <si>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</si>
  <si>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</si>
  <si>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</si>
  <si>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</si>
  <si>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</si>
  <si>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</si>
  <si>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</si>
  <si>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</si>
  <si>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</si>
  <si>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</si>
  <si>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</si>
  <si>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</si>
  <si>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</si>
  <si>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</si>
  <si>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</si>
  <si>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</si>
  <si>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</si>
  <si>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</si>
  <si>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</si>
  <si>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</si>
  <si>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</si>
  <si>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</si>
  <si>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</si>
  <si>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</si>
  <si>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</si>
  <si>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</si>
  <si>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</si>
  <si>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</si>
  <si>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</si>
  <si>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</si>
  <si>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</si>
  <si>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</si>
  <si>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</si>
  <si>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</si>
  <si>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</si>
  <si>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</si>
  <si>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</si>
  <si>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</si>
  <si>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</si>
  <si>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</si>
  <si>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</si>
  <si>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</si>
  <si>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</si>
  <si>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</si>
  <si>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</si>
  <si>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</si>
  <si>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</si>
  <si>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</si>
  <si>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</si>
  <si>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</si>
  <si>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</si>
  <si>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</si>
  <si>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</si>
  <si>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</si>
  <si>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</si>
  <si>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</si>
  <si>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</si>
  <si>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</si>
  <si>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</si>
  <si>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</si>
  <si>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</si>
  <si>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</si>
  <si>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</si>
  <si>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</si>
  <si>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</si>
  <si>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</si>
  <si>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</si>
  <si>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</si>
  <si>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</si>
  <si>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</si>
  <si>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Timothy Bell</t>
  </si>
  <si>
    <t>Crystal Duke</t>
  </si>
  <si>
    <t>Jessica Bullock</t>
  </si>
  <si>
    <t>Brian Garcia</t>
  </si>
  <si>
    <t>Hector Baker</t>
  </si>
  <si>
    <t>Dustin Cox</t>
  </si>
  <si>
    <t>Richard Carey</t>
  </si>
  <si>
    <t>Virginia Le</t>
  </si>
  <si>
    <t>Briana Sawyer</t>
  </si>
  <si>
    <t>Joshua Osborne</t>
  </si>
  <si>
    <t>Matthew Brown</t>
  </si>
  <si>
    <t>Ruth Pham</t>
  </si>
  <si>
    <t>Paul Bradley</t>
  </si>
  <si>
    <t>Natasha Hopkins</t>
  </si>
  <si>
    <t>Paula Randall</t>
  </si>
  <si>
    <t>Kenneth Hunter</t>
  </si>
  <si>
    <t>Tiffany Jones</t>
  </si>
  <si>
    <t>Dustin Vincent</t>
  </si>
  <si>
    <t>Jeremiah Rodriguez</t>
  </si>
  <si>
    <t>Jason Rodriguez</t>
  </si>
  <si>
    <t>Cynthia Harris</t>
  </si>
  <si>
    <t>Rita Curtis</t>
  </si>
  <si>
    <t>Mike Smith</t>
  </si>
  <si>
    <t>Patrick Sherman</t>
  </si>
  <si>
    <t>Kimberly Martinez</t>
  </si>
  <si>
    <t>Sherri Nelson</t>
  </si>
  <si>
    <t>Tina Pittman</t>
  </si>
  <si>
    <t>Timothy Brown</t>
  </si>
  <si>
    <t>Julian Patel Jr.</t>
  </si>
  <si>
    <t>Stacey Smith</t>
  </si>
  <si>
    <t>Peggy Gentry</t>
  </si>
  <si>
    <t>Nicole Parks</t>
  </si>
  <si>
    <t>Kerry Lindsey</t>
  </si>
  <si>
    <t>Sarah Bruce</t>
  </si>
  <si>
    <t>Brandon Jenkins</t>
  </si>
  <si>
    <t>Robert Flores</t>
  </si>
  <si>
    <t>Kenneth Schmidt</t>
  </si>
  <si>
    <t>Sharon Brown</t>
  </si>
  <si>
    <t>Michael Jackson</t>
  </si>
  <si>
    <t>Karen Mcintyre</t>
  </si>
  <si>
    <t>Mark Johnson</t>
  </si>
  <si>
    <t>Jacob Summers</t>
  </si>
  <si>
    <t>Katherine Bullock</t>
  </si>
  <si>
    <t>Rebekah Hill</t>
  </si>
  <si>
    <t>Sherry Taylor</t>
  </si>
  <si>
    <t>George Tran</t>
  </si>
  <si>
    <t>Marc Kim</t>
  </si>
  <si>
    <t>Kathryn Calhoun</t>
  </si>
  <si>
    <t>Brian Combs</t>
  </si>
  <si>
    <t>Alexander Rodriguez</t>
  </si>
  <si>
    <t>Emily Bradley</t>
  </si>
  <si>
    <t>Joseph Shields</t>
  </si>
  <si>
    <t>Kristen Garcia</t>
  </si>
  <si>
    <t>Larry Johnson</t>
  </si>
  <si>
    <t>Angela Boyd</t>
  </si>
  <si>
    <t>Justin Molina</t>
  </si>
  <si>
    <t>Emily Tyler</t>
  </si>
  <si>
    <t>William Huynh</t>
  </si>
  <si>
    <t>Brittany Patton</t>
  </si>
  <si>
    <t>Jennifer Grant</t>
  </si>
  <si>
    <t>Steven Jordan</t>
  </si>
  <si>
    <t>Jordan Ruiz</t>
  </si>
  <si>
    <t>Sean Fields</t>
  </si>
  <si>
    <t>Maria Hubbard</t>
  </si>
  <si>
    <t>Miguel Norton</t>
  </si>
  <si>
    <t>Karen Brown</t>
  </si>
  <si>
    <t>Nicole Harper</t>
  </si>
  <si>
    <t>Veronica Dunn</t>
  </si>
  <si>
    <t>Monique Perez</t>
  </si>
  <si>
    <t>Bethany Cook</t>
  </si>
  <si>
    <t>Amy Mcdonald</t>
  </si>
  <si>
    <t>Lynn Vasquez</t>
  </si>
  <si>
    <t>Leah Stewart</t>
  </si>
  <si>
    <t>John Juarez</t>
  </si>
  <si>
    <t>Chelsea White</t>
  </si>
  <si>
    <t>Edward Porter</t>
  </si>
  <si>
    <t>Melissa Lambert</t>
  </si>
  <si>
    <t>Ashley Snyder</t>
  </si>
  <si>
    <t>Katherine Peck</t>
  </si>
  <si>
    <t>Michael Silva</t>
  </si>
  <si>
    <t>Jackie Leon</t>
  </si>
  <si>
    <t>Brian Robinson</t>
  </si>
  <si>
    <t>Jason Nelson</t>
  </si>
  <si>
    <t>Cynthia Porter</t>
  </si>
  <si>
    <t>Travis Galloway</t>
  </si>
  <si>
    <t>Lindsay Obrien</t>
  </si>
  <si>
    <t>Andrew Kim</t>
  </si>
  <si>
    <t>Suzanne Hull</t>
  </si>
  <si>
    <t>David Wright</t>
  </si>
  <si>
    <t>Joy Rodriguez</t>
  </si>
  <si>
    <t>Kimberly Roach</t>
  </si>
  <si>
    <t>Jeffrey Moreno</t>
  </si>
  <si>
    <t>Jessica Wood</t>
  </si>
  <si>
    <t>Kurt Bridges</t>
  </si>
  <si>
    <t>Colin Mitchell</t>
  </si>
  <si>
    <t>Jared Bennett</t>
  </si>
  <si>
    <t>Nicole Myers</t>
  </si>
  <si>
    <t>Stephen Delgado</t>
  </si>
  <si>
    <t>Tony Rivera</t>
  </si>
  <si>
    <t>Dr. Susan Parker</t>
  </si>
  <si>
    <t>Jeanne Holt</t>
  </si>
  <si>
    <t>Jamie Garcia</t>
  </si>
  <si>
    <t>Mrs. Natalie Hartman</t>
  </si>
  <si>
    <t>Michael Donaldson</t>
  </si>
  <si>
    <t>Carol Welch</t>
  </si>
  <si>
    <t>Amanda Martin</t>
  </si>
  <si>
    <t>Cynthia Montgomery</t>
  </si>
  <si>
    <t>Justin Moon</t>
  </si>
  <si>
    <t>Michael Duffy</t>
  </si>
  <si>
    <t>Michael Martinez</t>
  </si>
  <si>
    <t>Daniel Burke</t>
  </si>
  <si>
    <t>Christina Kennedy</t>
  </si>
  <si>
    <t>Sarah Zimmerman</t>
  </si>
  <si>
    <t>Gabriela Brown</t>
  </si>
  <si>
    <t>Lindsey Caldwell</t>
  </si>
  <si>
    <t>Jacqueline Moore</t>
  </si>
  <si>
    <t>Daniel Cameron</t>
  </si>
  <si>
    <t>Joseph Villarreal</t>
  </si>
  <si>
    <t>Angelica Leach</t>
  </si>
  <si>
    <t>Charlotte Rodriguez</t>
  </si>
  <si>
    <t>Beverly Hernandez</t>
  </si>
  <si>
    <t>Mr. Dale Weber</t>
  </si>
  <si>
    <t>Mallory Brown</t>
  </si>
  <si>
    <t>Barbara Koch</t>
  </si>
  <si>
    <t>Ashley Mathis</t>
  </si>
  <si>
    <t>Melissa Mendez</t>
  </si>
  <si>
    <t>Christopher Watson</t>
  </si>
  <si>
    <t>Rick Harris</t>
  </si>
  <si>
    <t>Barbara Donovan</t>
  </si>
  <si>
    <t>Tara Gutierrez</t>
  </si>
  <si>
    <t>Elizabeth Jackson</t>
  </si>
  <si>
    <t>Vanessa Black</t>
  </si>
  <si>
    <t>Eric Parker</t>
  </si>
  <si>
    <t>Sherry Cooper</t>
  </si>
  <si>
    <t>Ricky Willis</t>
  </si>
  <si>
    <t>Lisa Sims</t>
  </si>
  <si>
    <t>Lisa Coffey</t>
  </si>
  <si>
    <t>Corey Miller</t>
  </si>
  <si>
    <t>Ashley Acosta</t>
  </si>
  <si>
    <t>Jamie Flynn</t>
  </si>
  <si>
    <t>James Schroeder</t>
  </si>
  <si>
    <t>Carly Foster</t>
  </si>
  <si>
    <t>Victoria Turner</t>
  </si>
  <si>
    <t>Carl Duke</t>
  </si>
  <si>
    <t>Loretta Norris</t>
  </si>
  <si>
    <t>Randy Garcia</t>
  </si>
  <si>
    <t>Mathew Green</t>
  </si>
  <si>
    <t>Scott Weaver</t>
  </si>
  <si>
    <t>David Myers</t>
  </si>
  <si>
    <t>Angela Hubbard</t>
  </si>
  <si>
    <t>Rebecca Williams</t>
  </si>
  <si>
    <t>Monica Leblanc</t>
  </si>
  <si>
    <t>Patrick Rice</t>
  </si>
  <si>
    <t>Lisa Barber</t>
  </si>
  <si>
    <t>April Robinson</t>
  </si>
  <si>
    <t>Jasmine Ponce</t>
  </si>
  <si>
    <t>Briana Roberts</t>
  </si>
  <si>
    <t>Jesse Johnson</t>
  </si>
  <si>
    <t>Brandy Ramirez</t>
  </si>
  <si>
    <t>Cody Cruz</t>
  </si>
  <si>
    <t>Nicole Valencia</t>
  </si>
  <si>
    <t>Courtney Campos</t>
  </si>
  <si>
    <t>Deborah Holden</t>
  </si>
  <si>
    <t>Michelle Nguyen</t>
  </si>
  <si>
    <t>Robert Obrien</t>
  </si>
  <si>
    <t>Karen Sullivan</t>
  </si>
  <si>
    <t>Vincent Olson</t>
  </si>
  <si>
    <t>Aaron Velazquez</t>
  </si>
  <si>
    <t>Sandy Clark</t>
  </si>
  <si>
    <t>Jeremy Bishop</t>
  </si>
  <si>
    <t>Brad Dennis</t>
  </si>
  <si>
    <t>Stephanie Ramirez</t>
  </si>
  <si>
    <t>Dennis Mckinney</t>
  </si>
  <si>
    <t>Brianna Lee</t>
  </si>
  <si>
    <t>Isaac Grant</t>
  </si>
  <si>
    <t>Linda Rodriguez</t>
  </si>
  <si>
    <t>Andrew Salas</t>
  </si>
  <si>
    <t>Hunter Miller</t>
  </si>
  <si>
    <t>Ronald Snyder</t>
  </si>
  <si>
    <t>Bruce Blackburn</t>
  </si>
  <si>
    <t>Jamie Murphy</t>
  </si>
  <si>
    <t>Andrea Cohen</t>
  </si>
  <si>
    <t>Miss Lisa Hunt</t>
  </si>
  <si>
    <t>Victoria Mcmahon</t>
  </si>
  <si>
    <t>Felicia Carlson</t>
  </si>
  <si>
    <t>Heather Brown</t>
  </si>
  <si>
    <t>Marc Herrera</t>
  </si>
  <si>
    <t>David Tucker</t>
  </si>
  <si>
    <t>Virginia Jennings</t>
  </si>
  <si>
    <t>Steven Moran</t>
  </si>
  <si>
    <t>Reginald Cain</t>
  </si>
  <si>
    <t>Jeremiah Garcia</t>
  </si>
  <si>
    <t>Trevor Simon</t>
  </si>
  <si>
    <t>Kristine Wells</t>
  </si>
  <si>
    <t>Felicia Greene</t>
  </si>
  <si>
    <t>Andrew Cuevas</t>
  </si>
  <si>
    <t>Jeff Huynh</t>
  </si>
  <si>
    <t>Lindsay Nelson</t>
  </si>
  <si>
    <t>Michael Stephens</t>
  </si>
  <si>
    <t>Mrs. Gwendolyn Jennings MD</t>
  </si>
  <si>
    <t>Diana Davila</t>
  </si>
  <si>
    <t>Elizabeth Pollard</t>
  </si>
  <si>
    <t>Michael Watson</t>
  </si>
  <si>
    <t>Erica Kelly</t>
  </si>
  <si>
    <t>Nathan Grant</t>
  </si>
  <si>
    <t>Benjamin Collins</t>
  </si>
  <si>
    <t>Jacob Burgess</t>
  </si>
  <si>
    <t>Casey Acosta</t>
  </si>
  <si>
    <t>Ronald Kramer</t>
  </si>
  <si>
    <t>Zachary Gonzalez</t>
  </si>
  <si>
    <t>Taylor Pierce</t>
  </si>
  <si>
    <t>Christopher Friedman</t>
  </si>
  <si>
    <t>Carol Cooper</t>
  </si>
  <si>
    <t>Tiffany Roberts</t>
  </si>
  <si>
    <t>Gordon Harris Jr.</t>
  </si>
  <si>
    <t>Nicole Robinson</t>
  </si>
  <si>
    <t>Erica Cline</t>
  </si>
  <si>
    <t>Mrs. Vanessa Griffith</t>
  </si>
  <si>
    <t>Johnny Larson</t>
  </si>
  <si>
    <t>Laura Castro</t>
  </si>
  <si>
    <t>Amanda Williams</t>
  </si>
  <si>
    <t>Ashley Collins</t>
  </si>
  <si>
    <t>Holly Welch</t>
  </si>
  <si>
    <t>Paul Day</t>
  </si>
  <si>
    <t>Ashley Harris</t>
  </si>
  <si>
    <t>Travis Dillon</t>
  </si>
  <si>
    <t>Devin Martin</t>
  </si>
  <si>
    <t>Andrew Woodard</t>
  </si>
  <si>
    <t>Amber Pittman</t>
  </si>
  <si>
    <t>Heather Wilson</t>
  </si>
  <si>
    <t>Ashlee Ruiz</t>
  </si>
  <si>
    <t>Catherine Phillips</t>
  </si>
  <si>
    <t>Joe Lowe</t>
  </si>
  <si>
    <t>Craig Miller</t>
  </si>
  <si>
    <t>Ricky Stevenson</t>
  </si>
  <si>
    <t>Amanda Anderson</t>
  </si>
  <si>
    <t>David Ward</t>
  </si>
  <si>
    <t>Joel Meyers</t>
  </si>
  <si>
    <t>Julia Perez</t>
  </si>
  <si>
    <t>Joseph Sanders</t>
  </si>
  <si>
    <t>Karen Knox</t>
  </si>
  <si>
    <t>Hunter Estrada</t>
  </si>
  <si>
    <t>Mrs. Christine Wood</t>
  </si>
  <si>
    <t>Anita Cabrera</t>
  </si>
  <si>
    <t>Kevin Nelson</t>
  </si>
  <si>
    <t>Brandon Bailey</t>
  </si>
  <si>
    <t>Clinton Sanders</t>
  </si>
  <si>
    <t>Donald Bradley</t>
  </si>
  <si>
    <t>Mrs. Alicia Bean</t>
  </si>
  <si>
    <t>Steve Smith</t>
  </si>
  <si>
    <t>Melanie Long</t>
  </si>
  <si>
    <t>Sarah Phillips</t>
  </si>
  <si>
    <t>Amanda Bennett</t>
  </si>
  <si>
    <t>Matthew Smith</t>
  </si>
  <si>
    <t>Samantha Jacobson</t>
  </si>
  <si>
    <t>Lori Brooks</t>
  </si>
  <si>
    <t>Kevin Patton</t>
  </si>
  <si>
    <t>Theresa Russell</t>
  </si>
  <si>
    <t>Charles Powers</t>
  </si>
  <si>
    <t>Angelica Burton</t>
  </si>
  <si>
    <t>James Eaton</t>
  </si>
  <si>
    <t>Christopher Johnson</t>
  </si>
  <si>
    <t>Sara Fry</t>
  </si>
  <si>
    <t>Jennifer Miller</t>
  </si>
  <si>
    <t>William Davis</t>
  </si>
  <si>
    <t>Benjamin Yates</t>
  </si>
  <si>
    <t>John Jones</t>
  </si>
  <si>
    <t>Miss Jessica Cardenas</t>
  </si>
  <si>
    <t>Mr. Christian Hall</t>
  </si>
  <si>
    <t>Jason Collier</t>
  </si>
  <si>
    <t>Michelle Anderson</t>
  </si>
  <si>
    <t>Richard Flynn</t>
  </si>
  <si>
    <t>Morgan Hill</t>
  </si>
  <si>
    <t>Reginald Tucker</t>
  </si>
  <si>
    <t>Andrew Nelson</t>
  </si>
  <si>
    <t>Shannon Valdez</t>
  </si>
  <si>
    <t>Amanda Gonzalez</t>
  </si>
  <si>
    <t>Christina Fowler DDS</t>
  </si>
  <si>
    <t>Michael Boyer</t>
  </si>
  <si>
    <t>Brian Watson</t>
  </si>
  <si>
    <t>Angela Crosby</t>
  </si>
  <si>
    <t>Jeffrey Price</t>
  </si>
  <si>
    <t>Edgar Wilson</t>
  </si>
  <si>
    <t>Jon Oliver</t>
  </si>
  <si>
    <t>Judy Erickson</t>
  </si>
  <si>
    <t>Charles Jackson</t>
  </si>
  <si>
    <t>Anthony Williams</t>
  </si>
  <si>
    <t>Stephanie Davis</t>
  </si>
  <si>
    <t>Andre Robinson</t>
  </si>
  <si>
    <t>Heather Kelley</t>
  </si>
  <si>
    <t>Katie Chapman</t>
  </si>
  <si>
    <t>Brandy Murphy</t>
  </si>
  <si>
    <t>Dustin Campbell</t>
  </si>
  <si>
    <t>Adam Coleman</t>
  </si>
  <si>
    <t>Brittany Smith</t>
  </si>
  <si>
    <t>Jennifer May</t>
  </si>
  <si>
    <t>Brian Rogers</t>
  </si>
  <si>
    <t>Melissa Williams</t>
  </si>
  <si>
    <t>Renee Cox</t>
  </si>
  <si>
    <t>Lauren Newton</t>
  </si>
  <si>
    <t>Shannon Diaz</t>
  </si>
  <si>
    <t>Jeremiah Kelly</t>
  </si>
  <si>
    <t>Robyn Owens MD</t>
  </si>
  <si>
    <t>Jacqueline Woods</t>
  </si>
  <si>
    <t>Anthony Manning</t>
  </si>
  <si>
    <t>Maureen Martin</t>
  </si>
  <si>
    <t>Daniel Golden</t>
  </si>
  <si>
    <t>Phyllis Bass</t>
  </si>
  <si>
    <t>Jennifer Neal</t>
  </si>
  <si>
    <t>Donna Johnson</t>
  </si>
  <si>
    <t>Robert Berry</t>
  </si>
  <si>
    <t>Brandi Gonzalez</t>
  </si>
  <si>
    <t>Carol Williams</t>
  </si>
  <si>
    <t>Jessica Stanley</t>
  </si>
  <si>
    <t>Kara Ramirez</t>
  </si>
  <si>
    <t>Steven Mckinney</t>
  </si>
  <si>
    <t>Chad Clark</t>
  </si>
  <si>
    <t>Robert Thompson</t>
  </si>
  <si>
    <t>Emma Wilson</t>
  </si>
  <si>
    <t>Steven Bass</t>
  </si>
  <si>
    <t>Jessica Hernandez</t>
  </si>
  <si>
    <t>Emily Reyes</t>
  </si>
  <si>
    <t>Jason Allen</t>
  </si>
  <si>
    <t>Gregory Williams</t>
  </si>
  <si>
    <t>Adam Tate</t>
  </si>
  <si>
    <t>Catherine Jones</t>
  </si>
  <si>
    <t>Eric Peters</t>
  </si>
  <si>
    <t>Mrs. Veronica Martinez</t>
  </si>
  <si>
    <t>April Thomas</t>
  </si>
  <si>
    <t>Dean Jones</t>
  </si>
  <si>
    <t>Travis Patel</t>
  </si>
  <si>
    <t>Kimberly Rodriguez</t>
  </si>
  <si>
    <t>Heather Holland</t>
  </si>
  <si>
    <t>Daniel Woodward</t>
  </si>
  <si>
    <t>Lori Gross</t>
  </si>
  <si>
    <t>Karen Manning MD</t>
  </si>
  <si>
    <t>Jessica Lawson</t>
  </si>
  <si>
    <t>Theresa Morgan</t>
  </si>
  <si>
    <t>Howard Carter</t>
  </si>
  <si>
    <t>Jessica Parker</t>
  </si>
  <si>
    <t>Jared Kelley</t>
  </si>
  <si>
    <t>Jacqueline Hayes</t>
  </si>
  <si>
    <t>Caitlin Johnson</t>
  </si>
  <si>
    <t>Mitchell Williams</t>
  </si>
  <si>
    <t>Calvin Compton</t>
  </si>
  <si>
    <t>Sheena Cox</t>
  </si>
  <si>
    <t>Megan Stone</t>
  </si>
  <si>
    <t>Jasmine Summers</t>
  </si>
  <si>
    <t>Sarah Perez PhD</t>
  </si>
  <si>
    <t>Thomas Huber</t>
  </si>
  <si>
    <t>Martin Case</t>
  </si>
  <si>
    <t>Annette Martin</t>
  </si>
  <si>
    <t>Julie Owens</t>
  </si>
  <si>
    <t>Lindsey Brown</t>
  </si>
  <si>
    <t>Kelli Smith</t>
  </si>
  <si>
    <t>Carl Davis</t>
  </si>
  <si>
    <t>Dean Norton</t>
  </si>
  <si>
    <t>Laura Baker</t>
  </si>
  <si>
    <t>Cheryl Crawford</t>
  </si>
  <si>
    <t>Erica Taylor</t>
  </si>
  <si>
    <t>Dana Schmidt</t>
  </si>
  <si>
    <t>Christine Davis</t>
  </si>
  <si>
    <t>Timothy Hanson</t>
  </si>
  <si>
    <t>Joshua Chapman</t>
  </si>
  <si>
    <t>Kayla Williams</t>
  </si>
  <si>
    <t>Elijah Davidson</t>
  </si>
  <si>
    <t>Evelyn Young</t>
  </si>
  <si>
    <t>Veronica James</t>
  </si>
  <si>
    <t>Tony Harris MD</t>
  </si>
  <si>
    <t>Brian Jordan</t>
  </si>
  <si>
    <t>Dr. John Kaiser PhD</t>
  </si>
  <si>
    <t>Kristopher Lloyd</t>
  </si>
  <si>
    <t>Dr. James Thompson MD</t>
  </si>
  <si>
    <t>Cory Torres</t>
  </si>
  <si>
    <t>Marketing</t>
  </si>
  <si>
    <t>Data Science</t>
  </si>
  <si>
    <t>Business Analytics</t>
  </si>
  <si>
    <t>Computer Science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</si>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</sst>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opLeftCell="A16" workbookViewId="0">
      <selection activeCell="A23" sqref="A2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e">
        <f>IF(#REF!&gt;=50, "Pass", "Fail")</f>
        <v>#REF!</v>
      </c>
    </row>
    <row r="11" spans="1:1" x14ac:dyDescent="0.35">
      <c r="A11" t="s">
        <v>6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e">
        <f ca="1">_xludf.IFS(#REF!&gt;=85, "Distinction", #REF!&gt;=60, "Pass", #REF!&lt;60, "Fail")</f>
        <v>#NAME?</v>
      </c>
    </row>
    <row r="18" spans="1:1" x14ac:dyDescent="0.35">
      <c r="A18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  <row r="21" spans="1:1" x14ac:dyDescent="0.35">
      <c r="A21" t="s">
        <v>14</v>
      </c>
    </row>
    <row r="22" spans="1:1" x14ac:dyDescent="0.35">
      <c r="A22" t="s">
        <v>15</v>
      </c>
    </row>
    <row r="23" spans="1:1" x14ac:dyDescent="0.35">
      <c r="A23" t="e">
        <f>IF(OR(#REF!&lt;75, #REF!&lt;50), "Needs Intervention", "OK")</f>
        <v>#REF!</v>
      </c>
    </row>
    <row r="25" spans="1:1" x14ac:dyDescent="0.35">
      <c r="A25" t="s">
        <v>16</v>
      </c>
    </row>
    <row r="26" spans="1:1" x14ac:dyDescent="0.35">
      <c r="A26" t="s">
        <v>17</v>
      </c>
    </row>
    <row r="27" spans="1:1" x14ac:dyDescent="0.35">
      <c r="A27" t="s">
        <v>18</v>
      </c>
    </row>
    <row r="28" spans="1:1" x14ac:dyDescent="0.35">
      <c r="A28" t="s">
        <v>19</v>
      </c>
    </row>
    <row r="30" spans="1:1" x14ac:dyDescent="0.35">
      <c r="A30" t="s">
        <v>20</v>
      </c>
    </row>
    <row r="32" spans="1:1" x14ac:dyDescent="0.35">
      <c r="A3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6"/>
  <sheetViews>
    <sheetView tabSelected="1" workbookViewId="0">
      <selection activeCell="I2" sqref="I2"/>
    </sheetView>
  </sheetViews>
  <sheetFormatPr defaultRowHeight="14.5" x14ac:dyDescent="0.35"/>
  <cols>
    <col min="1" max="1" width="9.7265625" bestFit="1" customWidth="1"/>
    <col min="2" max="2" width="25.90625" bestFit="1" customWidth="1"/>
    <col min="3" max="3" width="15.90625" bestFit="1" customWidth="1"/>
    <col min="4" max="4" width="13.81640625" bestFit="1" customWidth="1"/>
    <col min="5" max="5" width="9.36328125" bestFit="1" customWidth="1"/>
    <col min="6" max="6" width="14.81640625" bestFit="1" customWidth="1"/>
    <col min="7" max="7" width="10.26953125" bestFit="1" customWidth="1"/>
    <col min="8" max="8" width="13.90625" bestFit="1" customWidth="1"/>
    <col min="9" max="9" width="16.81640625" bestFit="1" customWidth="1"/>
  </cols>
  <sheetData>
    <row r="1" spans="1:9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35">
      <c r="A2" t="s">
        <v>33</v>
      </c>
      <c r="B2" t="s">
        <v>408</v>
      </c>
      <c r="C2" t="s">
        <v>782</v>
      </c>
      <c r="D2">
        <v>64</v>
      </c>
      <c r="E2">
        <v>89</v>
      </c>
      <c r="F2">
        <v>37</v>
      </c>
      <c r="G2" t="str">
        <f>IF(F2&gt;=50,"Pass","Fail")</f>
        <v>Fail</v>
      </c>
      <c r="H2" t="str" cm="1">
        <f t="array" ref="H2">_xlfn.IFS(F2&gt;=80,"Distinction",F2&gt;=60,"Pass",F2&lt;60,"Fail")</f>
        <v>Fail</v>
      </c>
      <c r="I2" t="str">
        <f>IF(OR(D2&lt;75,E2&lt;50),"Needs Intervention","Okay")</f>
        <v>Needs Intervention</v>
      </c>
    </row>
    <row r="3" spans="1:9" x14ac:dyDescent="0.35">
      <c r="A3" t="s">
        <v>35</v>
      </c>
      <c r="B3" t="s">
        <v>410</v>
      </c>
      <c r="C3" t="s">
        <v>780</v>
      </c>
      <c r="D3">
        <v>57</v>
      </c>
      <c r="E3">
        <v>61</v>
      </c>
      <c r="F3">
        <v>33</v>
      </c>
      <c r="G3" t="str">
        <f>IF(F3&gt;=50,"Pass","Fail")</f>
        <v>Fail</v>
      </c>
      <c r="H3" t="str" cm="1">
        <f t="array" ref="H3">_xlfn.IFS(F3&gt;=80,"Distinction",F3&gt;=60,"Pass",F3&lt;60,"Fail")</f>
        <v>Fail</v>
      </c>
      <c r="I3" t="str">
        <f>IF(OR(D3&lt;75,E3&lt;50),"Needs Intervention","Okay")</f>
        <v>Needs Intervention</v>
      </c>
    </row>
    <row r="4" spans="1:9" x14ac:dyDescent="0.35">
      <c r="A4" t="s">
        <v>36</v>
      </c>
      <c r="B4" t="s">
        <v>411</v>
      </c>
      <c r="C4" t="s">
        <v>780</v>
      </c>
      <c r="D4">
        <v>70</v>
      </c>
      <c r="E4">
        <v>62</v>
      </c>
      <c r="F4">
        <v>85</v>
      </c>
      <c r="G4" t="str">
        <f>IF(F4&gt;=50,"Pass","Fail")</f>
        <v>Pass</v>
      </c>
      <c r="H4" t="str" cm="1">
        <f t="array" ref="H4">_xlfn.IFS(F4&gt;=80,"Distinction",F4&gt;=60,"Pass",F4&lt;60,"Fail")</f>
        <v>Distinction</v>
      </c>
      <c r="I4" t="str">
        <f>IF(OR(D4&lt;75,E4&lt;50),"Needs Intervention","Okay")</f>
        <v>Needs Intervention</v>
      </c>
    </row>
    <row r="5" spans="1:9" x14ac:dyDescent="0.35">
      <c r="A5" t="s">
        <v>38</v>
      </c>
      <c r="B5" t="s">
        <v>413</v>
      </c>
      <c r="C5" t="s">
        <v>781</v>
      </c>
      <c r="D5">
        <v>68</v>
      </c>
      <c r="E5">
        <v>47</v>
      </c>
      <c r="F5">
        <v>96</v>
      </c>
      <c r="G5" t="str">
        <f>IF(F5&gt;=50,"Pass","Fail")</f>
        <v>Pass</v>
      </c>
      <c r="H5" t="str" cm="1">
        <f t="array" ref="H5">_xlfn.IFS(F5&gt;=80,"Distinction",F5&gt;=60,"Pass",F5&lt;60,"Fail")</f>
        <v>Distinction</v>
      </c>
      <c r="I5" t="str">
        <f>IF(OR(D5&lt;75,E5&lt;50),"Needs Intervention","Okay")</f>
        <v>Needs Intervention</v>
      </c>
    </row>
    <row r="6" spans="1:9" x14ac:dyDescent="0.35">
      <c r="A6" t="s">
        <v>39</v>
      </c>
      <c r="B6" t="s">
        <v>414</v>
      </c>
      <c r="C6" t="s">
        <v>784</v>
      </c>
      <c r="D6">
        <v>72</v>
      </c>
      <c r="E6">
        <v>54</v>
      </c>
      <c r="F6">
        <v>96</v>
      </c>
      <c r="G6" t="str">
        <f>IF(F6&gt;=50,"Pass","Fail")</f>
        <v>Pass</v>
      </c>
      <c r="H6" t="str" cm="1">
        <f t="array" ref="H6">_xlfn.IFS(F6&gt;=80,"Distinction",F6&gt;=60,"Pass",F6&lt;60,"Fail")</f>
        <v>Distinction</v>
      </c>
      <c r="I6" t="str">
        <f>IF(OR(D6&lt;75,E6&lt;50),"Needs Intervention","Okay")</f>
        <v>Needs Intervention</v>
      </c>
    </row>
    <row r="7" spans="1:9" x14ac:dyDescent="0.35">
      <c r="A7" t="s">
        <v>40</v>
      </c>
      <c r="B7" t="s">
        <v>415</v>
      </c>
      <c r="C7" t="s">
        <v>781</v>
      </c>
      <c r="D7">
        <v>60</v>
      </c>
      <c r="E7">
        <v>83</v>
      </c>
      <c r="F7">
        <v>56</v>
      </c>
      <c r="G7" t="str">
        <f>IF(F7&gt;=50,"Pass","Fail")</f>
        <v>Pass</v>
      </c>
      <c r="H7" t="str" cm="1">
        <f t="array" ref="H7">_xlfn.IFS(F7&gt;=80,"Distinction",F7&gt;=60,"Pass",F7&lt;60,"Fail")</f>
        <v>Fail</v>
      </c>
      <c r="I7" t="str">
        <f>IF(OR(D7&lt;75,E7&lt;50),"Needs Intervention","Okay")</f>
        <v>Needs Intervention</v>
      </c>
    </row>
    <row r="8" spans="1:9" x14ac:dyDescent="0.35">
      <c r="A8" t="s">
        <v>41</v>
      </c>
      <c r="B8" t="s">
        <v>416</v>
      </c>
      <c r="C8" t="s">
        <v>782</v>
      </c>
      <c r="D8">
        <v>60</v>
      </c>
      <c r="E8">
        <v>87</v>
      </c>
      <c r="F8">
        <v>61</v>
      </c>
      <c r="G8" t="str">
        <f>IF(F8&gt;=50,"Pass","Fail")</f>
        <v>Pass</v>
      </c>
      <c r="H8" t="str" cm="1">
        <f t="array" ref="H8">_xlfn.IFS(F8&gt;=80,"Distinction",F8&gt;=60,"Pass",F8&lt;60,"Fail")</f>
        <v>Pass</v>
      </c>
      <c r="I8" t="str">
        <f>IF(OR(D8&lt;75,E8&lt;50),"Needs Intervention","Okay")</f>
        <v>Needs Intervention</v>
      </c>
    </row>
    <row r="9" spans="1:9" x14ac:dyDescent="0.35">
      <c r="A9" t="s">
        <v>42</v>
      </c>
      <c r="B9" t="s">
        <v>417</v>
      </c>
      <c r="C9" t="s">
        <v>784</v>
      </c>
      <c r="D9">
        <v>73</v>
      </c>
      <c r="E9">
        <v>96</v>
      </c>
      <c r="F9">
        <v>79</v>
      </c>
      <c r="G9" t="str">
        <f>IF(F9&gt;=50,"Pass","Fail")</f>
        <v>Pass</v>
      </c>
      <c r="H9" t="str" cm="1">
        <f t="array" ref="H9">_xlfn.IFS(F9&gt;=80,"Distinction",F9&gt;=60,"Pass",F9&lt;60,"Fail")</f>
        <v>Pass</v>
      </c>
      <c r="I9" t="str">
        <f>IF(OR(D9&lt;75,E9&lt;50),"Needs Intervention","Okay")</f>
        <v>Needs Intervention</v>
      </c>
    </row>
    <row r="10" spans="1:9" x14ac:dyDescent="0.35">
      <c r="A10" t="s">
        <v>45</v>
      </c>
      <c r="B10" t="s">
        <v>420</v>
      </c>
      <c r="C10" t="s">
        <v>780</v>
      </c>
      <c r="D10">
        <v>73</v>
      </c>
      <c r="E10">
        <v>61</v>
      </c>
      <c r="F10">
        <v>48</v>
      </c>
      <c r="G10" t="str">
        <f>IF(F10&gt;=50,"Pass","Fail")</f>
        <v>Fail</v>
      </c>
      <c r="H10" t="str" cm="1">
        <f t="array" ref="H10">_xlfn.IFS(F10&gt;=80,"Distinction",F10&gt;=60,"Pass",F10&lt;60,"Fail")</f>
        <v>Fail</v>
      </c>
      <c r="I10" t="str">
        <f>IF(OR(D10&lt;75,E10&lt;50),"Needs Intervention","Okay")</f>
        <v>Needs Intervention</v>
      </c>
    </row>
    <row r="11" spans="1:9" x14ac:dyDescent="0.35">
      <c r="A11" t="s">
        <v>46</v>
      </c>
      <c r="B11" t="s">
        <v>421</v>
      </c>
      <c r="C11" t="s">
        <v>784</v>
      </c>
      <c r="D11">
        <v>52</v>
      </c>
      <c r="E11">
        <v>76</v>
      </c>
      <c r="F11">
        <v>50</v>
      </c>
      <c r="G11" t="str">
        <f>IF(F11&gt;=50,"Pass","Fail")</f>
        <v>Pass</v>
      </c>
      <c r="H11" t="str" cm="1">
        <f t="array" ref="H11">_xlfn.IFS(F11&gt;=80,"Distinction",F11&gt;=60,"Pass",F11&lt;60,"Fail")</f>
        <v>Fail</v>
      </c>
      <c r="I11" t="str">
        <f>IF(OR(D11&lt;75,E11&lt;50),"Needs Intervention","Okay")</f>
        <v>Needs Intervention</v>
      </c>
    </row>
    <row r="12" spans="1:9" x14ac:dyDescent="0.35">
      <c r="A12" t="s">
        <v>47</v>
      </c>
      <c r="B12" t="s">
        <v>422</v>
      </c>
      <c r="C12" t="s">
        <v>782</v>
      </c>
      <c r="D12">
        <v>71</v>
      </c>
      <c r="E12">
        <v>52</v>
      </c>
      <c r="F12">
        <v>34</v>
      </c>
      <c r="G12" t="str">
        <f>IF(F12&gt;=50,"Pass","Fail")</f>
        <v>Fail</v>
      </c>
      <c r="H12" t="str" cm="1">
        <f t="array" ref="H12">_xlfn.IFS(F12&gt;=80,"Distinction",F12&gt;=60,"Pass",F12&lt;60,"Fail")</f>
        <v>Fail</v>
      </c>
      <c r="I12" t="str">
        <f>IF(OR(D12&lt;75,E12&lt;50),"Needs Intervention","Okay")</f>
        <v>Needs Intervention</v>
      </c>
    </row>
    <row r="13" spans="1:9" x14ac:dyDescent="0.35">
      <c r="A13" t="s">
        <v>48</v>
      </c>
      <c r="B13" t="s">
        <v>423</v>
      </c>
      <c r="C13" t="s">
        <v>784</v>
      </c>
      <c r="D13">
        <v>51</v>
      </c>
      <c r="E13">
        <v>95</v>
      </c>
      <c r="F13">
        <v>71</v>
      </c>
      <c r="G13" t="str">
        <f>IF(F13&gt;=50,"Pass","Fail")</f>
        <v>Pass</v>
      </c>
      <c r="H13" t="str" cm="1">
        <f t="array" ref="H13">_xlfn.IFS(F13&gt;=80,"Distinction",F13&gt;=60,"Pass",F13&lt;60,"Fail")</f>
        <v>Pass</v>
      </c>
      <c r="I13" t="str">
        <f>IF(OR(D13&lt;75,E13&lt;50),"Needs Intervention","Okay")</f>
        <v>Needs Intervention</v>
      </c>
    </row>
    <row r="14" spans="1:9" x14ac:dyDescent="0.35">
      <c r="A14" t="s">
        <v>49</v>
      </c>
      <c r="B14" t="s">
        <v>424</v>
      </c>
      <c r="C14" t="s">
        <v>783</v>
      </c>
      <c r="D14">
        <v>73</v>
      </c>
      <c r="E14">
        <v>56</v>
      </c>
      <c r="F14">
        <v>90</v>
      </c>
      <c r="G14" t="str">
        <f>IF(F14&gt;=50,"Pass","Fail")</f>
        <v>Pass</v>
      </c>
      <c r="H14" t="str" cm="1">
        <f t="array" ref="H14">_xlfn.IFS(F14&gt;=80,"Distinction",F14&gt;=60,"Pass",F14&lt;60,"Fail")</f>
        <v>Distinction</v>
      </c>
      <c r="I14" t="str">
        <f>IF(OR(D14&lt;75,E14&lt;50),"Needs Intervention","Okay")</f>
        <v>Needs Intervention</v>
      </c>
    </row>
    <row r="15" spans="1:9" x14ac:dyDescent="0.35">
      <c r="A15" t="s">
        <v>50</v>
      </c>
      <c r="B15" t="s">
        <v>425</v>
      </c>
      <c r="C15" t="s">
        <v>781</v>
      </c>
      <c r="D15">
        <v>93</v>
      </c>
      <c r="E15">
        <v>31</v>
      </c>
      <c r="F15">
        <v>51</v>
      </c>
      <c r="G15" t="str">
        <f>IF(F15&gt;=50,"Pass","Fail")</f>
        <v>Pass</v>
      </c>
      <c r="H15" t="str" cm="1">
        <f t="array" ref="H15">_xlfn.IFS(F15&gt;=80,"Distinction",F15&gt;=60,"Pass",F15&lt;60,"Fail")</f>
        <v>Fail</v>
      </c>
      <c r="I15" t="str">
        <f>IF(OR(D15&lt;75,E15&lt;50),"Needs Intervention","Okay")</f>
        <v>Needs Intervention</v>
      </c>
    </row>
    <row r="16" spans="1:9" x14ac:dyDescent="0.35">
      <c r="A16" t="s">
        <v>51</v>
      </c>
      <c r="B16" t="s">
        <v>426</v>
      </c>
      <c r="C16" t="s">
        <v>783</v>
      </c>
      <c r="D16">
        <v>79</v>
      </c>
      <c r="E16">
        <v>46</v>
      </c>
      <c r="F16">
        <v>50</v>
      </c>
      <c r="G16" t="str">
        <f>IF(F16&gt;=50,"Pass","Fail")</f>
        <v>Pass</v>
      </c>
      <c r="H16" t="str" cm="1">
        <f t="array" ref="H16">_xlfn.IFS(F16&gt;=80,"Distinction",F16&gt;=60,"Pass",F16&lt;60,"Fail")</f>
        <v>Fail</v>
      </c>
      <c r="I16" t="str">
        <f>IF(OR(D16&lt;75,E16&lt;50),"Needs Intervention","Okay")</f>
        <v>Needs Intervention</v>
      </c>
    </row>
    <row r="17" spans="1:9" x14ac:dyDescent="0.35">
      <c r="A17" t="s">
        <v>53</v>
      </c>
      <c r="B17" t="s">
        <v>428</v>
      </c>
      <c r="C17" t="s">
        <v>782</v>
      </c>
      <c r="D17">
        <v>51</v>
      </c>
      <c r="E17">
        <v>38</v>
      </c>
      <c r="F17">
        <v>30</v>
      </c>
      <c r="G17" t="str">
        <f>IF(F17&gt;=50,"Pass","Fail")</f>
        <v>Fail</v>
      </c>
      <c r="H17" t="str" cm="1">
        <f t="array" ref="H17">_xlfn.IFS(F17&gt;=80,"Distinction",F17&gt;=60,"Pass",F17&lt;60,"Fail")</f>
        <v>Fail</v>
      </c>
      <c r="I17" t="str">
        <f>IF(OR(D17&lt;75,E17&lt;50),"Needs Intervention","Okay")</f>
        <v>Needs Intervention</v>
      </c>
    </row>
    <row r="18" spans="1:9" x14ac:dyDescent="0.35">
      <c r="A18" t="s">
        <v>54</v>
      </c>
      <c r="B18" t="s">
        <v>429</v>
      </c>
      <c r="C18" t="s">
        <v>781</v>
      </c>
      <c r="D18">
        <v>70</v>
      </c>
      <c r="E18">
        <v>72</v>
      </c>
      <c r="F18">
        <v>34</v>
      </c>
      <c r="G18" t="str">
        <f>IF(F18&gt;=50,"Pass","Fail")</f>
        <v>Fail</v>
      </c>
      <c r="H18" t="str" cm="1">
        <f t="array" ref="H18">_xlfn.IFS(F18&gt;=80,"Distinction",F18&gt;=60,"Pass",F18&lt;60,"Fail")</f>
        <v>Fail</v>
      </c>
      <c r="I18" t="str">
        <f>IF(OR(D18&lt;75,E18&lt;50),"Needs Intervention","Okay")</f>
        <v>Needs Intervention</v>
      </c>
    </row>
    <row r="19" spans="1:9" x14ac:dyDescent="0.35">
      <c r="A19" t="s">
        <v>56</v>
      </c>
      <c r="B19" t="s">
        <v>431</v>
      </c>
      <c r="C19" t="s">
        <v>782</v>
      </c>
      <c r="D19">
        <v>61</v>
      </c>
      <c r="E19">
        <v>68</v>
      </c>
      <c r="F19">
        <v>75</v>
      </c>
      <c r="G19" t="str">
        <f>IF(F19&gt;=50,"Pass","Fail")</f>
        <v>Pass</v>
      </c>
      <c r="H19" t="str" cm="1">
        <f t="array" ref="H19">_xlfn.IFS(F19&gt;=80,"Distinction",F19&gt;=60,"Pass",F19&lt;60,"Fail")</f>
        <v>Pass</v>
      </c>
      <c r="I19" t="str">
        <f>IF(OR(D19&lt;75,E19&lt;50),"Needs Intervention","Okay")</f>
        <v>Needs Intervention</v>
      </c>
    </row>
    <row r="20" spans="1:9" x14ac:dyDescent="0.35">
      <c r="A20" t="s">
        <v>57</v>
      </c>
      <c r="B20" t="s">
        <v>432</v>
      </c>
      <c r="C20" t="s">
        <v>781</v>
      </c>
      <c r="D20">
        <v>71</v>
      </c>
      <c r="E20">
        <v>71</v>
      </c>
      <c r="F20">
        <v>63</v>
      </c>
      <c r="G20" t="str">
        <f>IF(F20&gt;=50,"Pass","Fail")</f>
        <v>Pass</v>
      </c>
      <c r="H20" t="str" cm="1">
        <f t="array" ref="H20">_xlfn.IFS(F20&gt;=80,"Distinction",F20&gt;=60,"Pass",F20&lt;60,"Fail")</f>
        <v>Pass</v>
      </c>
      <c r="I20" t="str">
        <f>IF(OR(D20&lt;75,E20&lt;50),"Needs Intervention","Okay")</f>
        <v>Needs Intervention</v>
      </c>
    </row>
    <row r="21" spans="1:9" x14ac:dyDescent="0.35">
      <c r="A21" t="s">
        <v>59</v>
      </c>
      <c r="B21" t="s">
        <v>434</v>
      </c>
      <c r="C21" t="s">
        <v>783</v>
      </c>
      <c r="D21">
        <v>74</v>
      </c>
      <c r="E21">
        <v>79</v>
      </c>
      <c r="F21">
        <v>74</v>
      </c>
      <c r="G21" t="str">
        <f>IF(F21&gt;=50,"Pass","Fail")</f>
        <v>Pass</v>
      </c>
      <c r="H21" t="str" cm="1">
        <f t="array" ref="H21">_xlfn.IFS(F21&gt;=80,"Distinction",F21&gt;=60,"Pass",F21&lt;60,"Fail")</f>
        <v>Pass</v>
      </c>
      <c r="I21" t="str">
        <f>IF(OR(D21&lt;75,E21&lt;50),"Needs Intervention","Okay")</f>
        <v>Needs Intervention</v>
      </c>
    </row>
    <row r="22" spans="1:9" x14ac:dyDescent="0.35">
      <c r="A22" t="s">
        <v>62</v>
      </c>
      <c r="B22" t="s">
        <v>437</v>
      </c>
      <c r="C22" t="s">
        <v>780</v>
      </c>
      <c r="D22">
        <v>91</v>
      </c>
      <c r="E22">
        <v>42</v>
      </c>
      <c r="F22">
        <v>76</v>
      </c>
      <c r="G22" t="str">
        <f>IF(F22&gt;=50,"Pass","Fail")</f>
        <v>Pass</v>
      </c>
      <c r="H22" t="str" cm="1">
        <f t="array" ref="H22">_xlfn.IFS(F22&gt;=80,"Distinction",F22&gt;=60,"Pass",F22&lt;60,"Fail")</f>
        <v>Pass</v>
      </c>
      <c r="I22" t="str">
        <f>IF(OR(D22&lt;75,E22&lt;50),"Needs Intervention","Okay")</f>
        <v>Needs Intervention</v>
      </c>
    </row>
    <row r="23" spans="1:9" x14ac:dyDescent="0.35">
      <c r="A23" t="s">
        <v>64</v>
      </c>
      <c r="B23" t="s">
        <v>439</v>
      </c>
      <c r="C23" t="s">
        <v>783</v>
      </c>
      <c r="D23">
        <v>65</v>
      </c>
      <c r="E23">
        <v>36</v>
      </c>
      <c r="F23">
        <v>92</v>
      </c>
      <c r="G23" t="str">
        <f>IF(F23&gt;=50,"Pass","Fail")</f>
        <v>Pass</v>
      </c>
      <c r="H23" t="str" cm="1">
        <f t="array" ref="H23">_xlfn.IFS(F23&gt;=80,"Distinction",F23&gt;=60,"Pass",F23&lt;60,"Fail")</f>
        <v>Distinction</v>
      </c>
      <c r="I23" t="str">
        <f>IF(OR(D23&lt;75,E23&lt;50),"Needs Intervention","Okay")</f>
        <v>Needs Intervention</v>
      </c>
    </row>
    <row r="24" spans="1:9" x14ac:dyDescent="0.35">
      <c r="A24" t="s">
        <v>65</v>
      </c>
      <c r="B24" t="s">
        <v>440</v>
      </c>
      <c r="C24" t="s">
        <v>782</v>
      </c>
      <c r="D24">
        <v>64</v>
      </c>
      <c r="E24">
        <v>86</v>
      </c>
      <c r="F24">
        <v>77</v>
      </c>
      <c r="G24" t="str">
        <f>IF(F24&gt;=50,"Pass","Fail")</f>
        <v>Pass</v>
      </c>
      <c r="H24" t="str" cm="1">
        <f t="array" ref="H24">_xlfn.IFS(F24&gt;=80,"Distinction",F24&gt;=60,"Pass",F24&lt;60,"Fail")</f>
        <v>Pass</v>
      </c>
      <c r="I24" t="str">
        <f>IF(OR(D24&lt;75,E24&lt;50),"Needs Intervention","Okay")</f>
        <v>Needs Intervention</v>
      </c>
    </row>
    <row r="25" spans="1:9" x14ac:dyDescent="0.35">
      <c r="A25" t="s">
        <v>68</v>
      </c>
      <c r="B25" t="s">
        <v>443</v>
      </c>
      <c r="C25" t="s">
        <v>780</v>
      </c>
      <c r="D25">
        <v>93</v>
      </c>
      <c r="E25">
        <v>49</v>
      </c>
      <c r="F25">
        <v>65</v>
      </c>
      <c r="G25" t="str">
        <f>IF(F25&gt;=50,"Pass","Fail")</f>
        <v>Pass</v>
      </c>
      <c r="H25" t="str" cm="1">
        <f t="array" ref="H25">_xlfn.IFS(F25&gt;=80,"Distinction",F25&gt;=60,"Pass",F25&lt;60,"Fail")</f>
        <v>Pass</v>
      </c>
      <c r="I25" t="str">
        <f>IF(OR(D25&lt;75,E25&lt;50),"Needs Intervention","Okay")</f>
        <v>Needs Intervention</v>
      </c>
    </row>
    <row r="26" spans="1:9" x14ac:dyDescent="0.35">
      <c r="A26" t="s">
        <v>69</v>
      </c>
      <c r="B26" t="s">
        <v>444</v>
      </c>
      <c r="C26" t="s">
        <v>783</v>
      </c>
      <c r="D26">
        <v>52</v>
      </c>
      <c r="E26">
        <v>94</v>
      </c>
      <c r="F26">
        <v>30</v>
      </c>
      <c r="G26" t="str">
        <f>IF(F26&gt;=50,"Pass","Fail")</f>
        <v>Fail</v>
      </c>
      <c r="H26" t="str" cm="1">
        <f t="array" ref="H26">_xlfn.IFS(F26&gt;=80,"Distinction",F26&gt;=60,"Pass",F26&lt;60,"Fail")</f>
        <v>Fail</v>
      </c>
      <c r="I26" t="str">
        <f>IF(OR(D26&lt;75,E26&lt;50),"Needs Intervention","Okay")</f>
        <v>Needs Intervention</v>
      </c>
    </row>
    <row r="27" spans="1:9" x14ac:dyDescent="0.35">
      <c r="A27" t="s">
        <v>70</v>
      </c>
      <c r="B27" t="s">
        <v>445</v>
      </c>
      <c r="C27" t="s">
        <v>784</v>
      </c>
      <c r="D27">
        <v>86</v>
      </c>
      <c r="E27">
        <v>37</v>
      </c>
      <c r="F27">
        <v>37</v>
      </c>
      <c r="G27" t="str">
        <f>IF(F27&gt;=50,"Pass","Fail")</f>
        <v>Fail</v>
      </c>
      <c r="H27" t="str" cm="1">
        <f t="array" ref="H27">_xlfn.IFS(F27&gt;=80,"Distinction",F27&gt;=60,"Pass",F27&lt;60,"Fail")</f>
        <v>Fail</v>
      </c>
      <c r="I27" t="str">
        <f>IF(OR(D27&lt;75,E27&lt;50),"Needs Intervention","Okay")</f>
        <v>Needs Intervention</v>
      </c>
    </row>
    <row r="28" spans="1:9" x14ac:dyDescent="0.35">
      <c r="A28" t="s">
        <v>71</v>
      </c>
      <c r="B28" t="s">
        <v>446</v>
      </c>
      <c r="C28" t="s">
        <v>780</v>
      </c>
      <c r="D28">
        <v>100</v>
      </c>
      <c r="E28">
        <v>45</v>
      </c>
      <c r="F28">
        <v>81</v>
      </c>
      <c r="G28" t="str">
        <f>IF(F28&gt;=50,"Pass","Fail")</f>
        <v>Pass</v>
      </c>
      <c r="H28" t="str" cm="1">
        <f t="array" ref="H28">_xlfn.IFS(F28&gt;=80,"Distinction",F28&gt;=60,"Pass",F28&lt;60,"Fail")</f>
        <v>Distinction</v>
      </c>
      <c r="I28" t="str">
        <f>IF(OR(D28&lt;75,E28&lt;50),"Needs Intervention","Okay")</f>
        <v>Needs Intervention</v>
      </c>
    </row>
    <row r="29" spans="1:9" x14ac:dyDescent="0.35">
      <c r="A29" t="s">
        <v>72</v>
      </c>
      <c r="B29" t="s">
        <v>447</v>
      </c>
      <c r="C29" t="s">
        <v>781</v>
      </c>
      <c r="D29">
        <v>56</v>
      </c>
      <c r="E29">
        <v>43</v>
      </c>
      <c r="F29">
        <v>76</v>
      </c>
      <c r="G29" t="str">
        <f>IF(F29&gt;=50,"Pass","Fail")</f>
        <v>Pass</v>
      </c>
      <c r="H29" t="str" cm="1">
        <f t="array" ref="H29">_xlfn.IFS(F29&gt;=80,"Distinction",F29&gt;=60,"Pass",F29&lt;60,"Fail")</f>
        <v>Pass</v>
      </c>
      <c r="I29" t="str">
        <f>IF(OR(D29&lt;75,E29&lt;50),"Needs Intervention","Okay")</f>
        <v>Needs Intervention</v>
      </c>
    </row>
    <row r="30" spans="1:9" x14ac:dyDescent="0.35">
      <c r="A30" t="s">
        <v>73</v>
      </c>
      <c r="B30" t="s">
        <v>448</v>
      </c>
      <c r="C30" t="s">
        <v>782</v>
      </c>
      <c r="D30">
        <v>70</v>
      </c>
      <c r="E30">
        <v>44</v>
      </c>
      <c r="F30">
        <v>85</v>
      </c>
      <c r="G30" t="str">
        <f>IF(F30&gt;=50,"Pass","Fail")</f>
        <v>Pass</v>
      </c>
      <c r="H30" t="str" cm="1">
        <f t="array" ref="H30">_xlfn.IFS(F30&gt;=80,"Distinction",F30&gt;=60,"Pass",F30&lt;60,"Fail")</f>
        <v>Distinction</v>
      </c>
      <c r="I30" t="str">
        <f>IF(OR(D30&lt;75,E30&lt;50),"Needs Intervention","Okay")</f>
        <v>Needs Intervention</v>
      </c>
    </row>
    <row r="31" spans="1:9" x14ac:dyDescent="0.35">
      <c r="A31" t="s">
        <v>74</v>
      </c>
      <c r="B31" t="s">
        <v>449</v>
      </c>
      <c r="C31" t="s">
        <v>782</v>
      </c>
      <c r="D31">
        <v>58</v>
      </c>
      <c r="E31">
        <v>95</v>
      </c>
      <c r="F31">
        <v>43</v>
      </c>
      <c r="G31" t="str">
        <f>IF(F31&gt;=50,"Pass","Fail")</f>
        <v>Fail</v>
      </c>
      <c r="H31" t="str" cm="1">
        <f t="array" ref="H31">_xlfn.IFS(F31&gt;=80,"Distinction",F31&gt;=60,"Pass",F31&lt;60,"Fail")</f>
        <v>Fail</v>
      </c>
      <c r="I31" t="str">
        <f>IF(OR(D31&lt;75,E31&lt;50),"Needs Intervention","Okay")</f>
        <v>Needs Intervention</v>
      </c>
    </row>
    <row r="32" spans="1:9" x14ac:dyDescent="0.35">
      <c r="A32" t="s">
        <v>76</v>
      </c>
      <c r="B32" t="s">
        <v>451</v>
      </c>
      <c r="C32" t="s">
        <v>782</v>
      </c>
      <c r="D32">
        <v>67</v>
      </c>
      <c r="E32">
        <v>92</v>
      </c>
      <c r="F32">
        <v>31</v>
      </c>
      <c r="G32" t="str">
        <f>IF(F32&gt;=50,"Pass","Fail")</f>
        <v>Fail</v>
      </c>
      <c r="H32" t="str" cm="1">
        <f t="array" ref="H32">_xlfn.IFS(F32&gt;=80,"Distinction",F32&gt;=60,"Pass",F32&lt;60,"Fail")</f>
        <v>Fail</v>
      </c>
      <c r="I32" t="str">
        <f>IF(OR(D32&lt;75,E32&lt;50),"Needs Intervention","Okay")</f>
        <v>Needs Intervention</v>
      </c>
    </row>
    <row r="33" spans="1:9" x14ac:dyDescent="0.35">
      <c r="A33" t="s">
        <v>77</v>
      </c>
      <c r="B33" t="s">
        <v>452</v>
      </c>
      <c r="C33" t="s">
        <v>781</v>
      </c>
      <c r="D33">
        <v>53</v>
      </c>
      <c r="E33">
        <v>80</v>
      </c>
      <c r="F33">
        <v>55</v>
      </c>
      <c r="G33" t="str">
        <f>IF(F33&gt;=50,"Pass","Fail")</f>
        <v>Pass</v>
      </c>
      <c r="H33" t="str" cm="1">
        <f t="array" ref="H33">_xlfn.IFS(F33&gt;=80,"Distinction",F33&gt;=60,"Pass",F33&lt;60,"Fail")</f>
        <v>Fail</v>
      </c>
      <c r="I33" t="str">
        <f>IF(OR(D33&lt;75,E33&lt;50),"Needs Intervention","Okay")</f>
        <v>Needs Intervention</v>
      </c>
    </row>
    <row r="34" spans="1:9" x14ac:dyDescent="0.35">
      <c r="A34" t="s">
        <v>78</v>
      </c>
      <c r="B34" t="s">
        <v>453</v>
      </c>
      <c r="C34" t="s">
        <v>782</v>
      </c>
      <c r="D34">
        <v>74</v>
      </c>
      <c r="E34">
        <v>54</v>
      </c>
      <c r="F34">
        <v>43</v>
      </c>
      <c r="G34" t="str">
        <f>IF(F34&gt;=50,"Pass","Fail")</f>
        <v>Fail</v>
      </c>
      <c r="H34" t="str" cm="1">
        <f t="array" ref="H34">_xlfn.IFS(F34&gt;=80,"Distinction",F34&gt;=60,"Pass",F34&lt;60,"Fail")</f>
        <v>Fail</v>
      </c>
      <c r="I34" t="str">
        <f>IF(OR(D34&lt;75,E34&lt;50),"Needs Intervention","Okay")</f>
        <v>Needs Intervention</v>
      </c>
    </row>
    <row r="35" spans="1:9" x14ac:dyDescent="0.35">
      <c r="A35" t="s">
        <v>79</v>
      </c>
      <c r="B35" t="s">
        <v>454</v>
      </c>
      <c r="C35" t="s">
        <v>780</v>
      </c>
      <c r="D35">
        <v>63</v>
      </c>
      <c r="E35">
        <v>87</v>
      </c>
      <c r="F35">
        <v>88</v>
      </c>
      <c r="G35" t="str">
        <f>IF(F35&gt;=50,"Pass","Fail")</f>
        <v>Pass</v>
      </c>
      <c r="H35" t="str" cm="1">
        <f t="array" ref="H35">_xlfn.IFS(F35&gt;=80,"Distinction",F35&gt;=60,"Pass",F35&lt;60,"Fail")</f>
        <v>Distinction</v>
      </c>
      <c r="I35" t="str">
        <f>IF(OR(D35&lt;75,E35&lt;50),"Needs Intervention","Okay")</f>
        <v>Needs Intervention</v>
      </c>
    </row>
    <row r="36" spans="1:9" x14ac:dyDescent="0.35">
      <c r="A36" t="s">
        <v>81</v>
      </c>
      <c r="B36" t="s">
        <v>456</v>
      </c>
      <c r="C36" t="s">
        <v>782</v>
      </c>
      <c r="D36">
        <v>58</v>
      </c>
      <c r="E36">
        <v>91</v>
      </c>
      <c r="F36">
        <v>36</v>
      </c>
      <c r="G36" t="str">
        <f>IF(F36&gt;=50,"Pass","Fail")</f>
        <v>Fail</v>
      </c>
      <c r="H36" t="str" cm="1">
        <f t="array" ref="H36">_xlfn.IFS(F36&gt;=80,"Distinction",F36&gt;=60,"Pass",F36&lt;60,"Fail")</f>
        <v>Fail</v>
      </c>
      <c r="I36" t="str">
        <f>IF(OR(D36&lt;75,E36&lt;50),"Needs Intervention","Okay")</f>
        <v>Needs Intervention</v>
      </c>
    </row>
    <row r="37" spans="1:9" x14ac:dyDescent="0.35">
      <c r="A37" t="s">
        <v>83</v>
      </c>
      <c r="B37" t="s">
        <v>458</v>
      </c>
      <c r="C37" t="s">
        <v>782</v>
      </c>
      <c r="D37">
        <v>51</v>
      </c>
      <c r="E37">
        <v>87</v>
      </c>
      <c r="F37">
        <v>52</v>
      </c>
      <c r="G37" t="str">
        <f>IF(F37&gt;=50,"Pass","Fail")</f>
        <v>Pass</v>
      </c>
      <c r="H37" t="str" cm="1">
        <f t="array" ref="H37">_xlfn.IFS(F37&gt;=80,"Distinction",F37&gt;=60,"Pass",F37&lt;60,"Fail")</f>
        <v>Fail</v>
      </c>
      <c r="I37" t="str">
        <f>IF(OR(D37&lt;75,E37&lt;50),"Needs Intervention","Okay")</f>
        <v>Needs Intervention</v>
      </c>
    </row>
    <row r="38" spans="1:9" x14ac:dyDescent="0.35">
      <c r="A38" t="s">
        <v>84</v>
      </c>
      <c r="B38" t="s">
        <v>459</v>
      </c>
      <c r="C38" t="s">
        <v>783</v>
      </c>
      <c r="D38">
        <v>69</v>
      </c>
      <c r="E38">
        <v>87</v>
      </c>
      <c r="F38">
        <v>47</v>
      </c>
      <c r="G38" t="str">
        <f>IF(F38&gt;=50,"Pass","Fail")</f>
        <v>Fail</v>
      </c>
      <c r="H38" t="str" cm="1">
        <f t="array" ref="H38">_xlfn.IFS(F38&gt;=80,"Distinction",F38&gt;=60,"Pass",F38&lt;60,"Fail")</f>
        <v>Fail</v>
      </c>
      <c r="I38" t="str">
        <f>IF(OR(D38&lt;75,E38&lt;50),"Needs Intervention","Okay")</f>
        <v>Needs Intervention</v>
      </c>
    </row>
    <row r="39" spans="1:9" x14ac:dyDescent="0.35">
      <c r="A39" t="s">
        <v>87</v>
      </c>
      <c r="B39" t="s">
        <v>462</v>
      </c>
      <c r="C39" t="s">
        <v>781</v>
      </c>
      <c r="D39">
        <v>56</v>
      </c>
      <c r="E39">
        <v>71</v>
      </c>
      <c r="F39">
        <v>93</v>
      </c>
      <c r="G39" t="str">
        <f>IF(F39&gt;=50,"Pass","Fail")</f>
        <v>Pass</v>
      </c>
      <c r="H39" t="str" cm="1">
        <f t="array" ref="H39">_xlfn.IFS(F39&gt;=80,"Distinction",F39&gt;=60,"Pass",F39&lt;60,"Fail")</f>
        <v>Distinction</v>
      </c>
      <c r="I39" t="str">
        <f>IF(OR(D39&lt;75,E39&lt;50),"Needs Intervention","Okay")</f>
        <v>Needs Intervention</v>
      </c>
    </row>
    <row r="40" spans="1:9" x14ac:dyDescent="0.35">
      <c r="A40" t="s">
        <v>89</v>
      </c>
      <c r="B40" t="s">
        <v>464</v>
      </c>
      <c r="C40" t="s">
        <v>781</v>
      </c>
      <c r="D40">
        <v>57</v>
      </c>
      <c r="E40">
        <v>44</v>
      </c>
      <c r="F40">
        <v>68</v>
      </c>
      <c r="G40" t="str">
        <f>IF(F40&gt;=50,"Pass","Fail")</f>
        <v>Pass</v>
      </c>
      <c r="H40" t="str" cm="1">
        <f t="array" ref="H40">_xlfn.IFS(F40&gt;=80,"Distinction",F40&gt;=60,"Pass",F40&lt;60,"Fail")</f>
        <v>Pass</v>
      </c>
      <c r="I40" t="str">
        <f>IF(OR(D40&lt;75,E40&lt;50),"Needs Intervention","Okay")</f>
        <v>Needs Intervention</v>
      </c>
    </row>
    <row r="41" spans="1:9" x14ac:dyDescent="0.35">
      <c r="A41" t="s">
        <v>92</v>
      </c>
      <c r="B41" t="s">
        <v>467</v>
      </c>
      <c r="C41" t="s">
        <v>780</v>
      </c>
      <c r="D41">
        <v>63</v>
      </c>
      <c r="E41">
        <v>37</v>
      </c>
      <c r="F41">
        <v>73</v>
      </c>
      <c r="G41" t="str">
        <f>IF(F41&gt;=50,"Pass","Fail")</f>
        <v>Pass</v>
      </c>
      <c r="H41" t="str" cm="1">
        <f t="array" ref="H41">_xlfn.IFS(F41&gt;=80,"Distinction",F41&gt;=60,"Pass",F41&lt;60,"Fail")</f>
        <v>Pass</v>
      </c>
      <c r="I41" t="str">
        <f>IF(OR(D41&lt;75,E41&lt;50),"Needs Intervention","Okay")</f>
        <v>Needs Intervention</v>
      </c>
    </row>
    <row r="42" spans="1:9" x14ac:dyDescent="0.35">
      <c r="A42" t="s">
        <v>93</v>
      </c>
      <c r="B42" t="s">
        <v>468</v>
      </c>
      <c r="C42" t="s">
        <v>784</v>
      </c>
      <c r="D42">
        <v>66</v>
      </c>
      <c r="E42">
        <v>82</v>
      </c>
      <c r="F42">
        <v>54</v>
      </c>
      <c r="G42" t="str">
        <f>IF(F42&gt;=50,"Pass","Fail")</f>
        <v>Pass</v>
      </c>
      <c r="H42" t="str" cm="1">
        <f t="array" ref="H42">_xlfn.IFS(F42&gt;=80,"Distinction",F42&gt;=60,"Pass",F42&lt;60,"Fail")</f>
        <v>Fail</v>
      </c>
      <c r="I42" t="str">
        <f>IF(OR(D42&lt;75,E42&lt;50),"Needs Intervention","Okay")</f>
        <v>Needs Intervention</v>
      </c>
    </row>
    <row r="43" spans="1:9" x14ac:dyDescent="0.35">
      <c r="A43" t="s">
        <v>95</v>
      </c>
      <c r="B43" t="s">
        <v>470</v>
      </c>
      <c r="C43" t="s">
        <v>783</v>
      </c>
      <c r="D43">
        <v>99</v>
      </c>
      <c r="E43">
        <v>34</v>
      </c>
      <c r="F43">
        <v>42</v>
      </c>
      <c r="G43" t="str">
        <f>IF(F43&gt;=50,"Pass","Fail")</f>
        <v>Fail</v>
      </c>
      <c r="H43" t="str" cm="1">
        <f t="array" ref="H43">_xlfn.IFS(F43&gt;=80,"Distinction",F43&gt;=60,"Pass",F43&lt;60,"Fail")</f>
        <v>Fail</v>
      </c>
      <c r="I43" t="str">
        <f>IF(OR(D43&lt;75,E43&lt;50),"Needs Intervention","Okay")</f>
        <v>Needs Intervention</v>
      </c>
    </row>
    <row r="44" spans="1:9" x14ac:dyDescent="0.35">
      <c r="A44" t="s">
        <v>97</v>
      </c>
      <c r="B44" t="s">
        <v>472</v>
      </c>
      <c r="C44" t="s">
        <v>782</v>
      </c>
      <c r="D44">
        <v>53</v>
      </c>
      <c r="E44">
        <v>35</v>
      </c>
      <c r="F44">
        <v>97</v>
      </c>
      <c r="G44" t="str">
        <f>IF(F44&gt;=50,"Pass","Fail")</f>
        <v>Pass</v>
      </c>
      <c r="H44" t="str" cm="1">
        <f t="array" ref="H44">_xlfn.IFS(F44&gt;=80,"Distinction",F44&gt;=60,"Pass",F44&lt;60,"Fail")</f>
        <v>Distinction</v>
      </c>
      <c r="I44" t="str">
        <f>IF(OR(D44&lt;75,E44&lt;50),"Needs Intervention","Okay")</f>
        <v>Needs Intervention</v>
      </c>
    </row>
    <row r="45" spans="1:9" x14ac:dyDescent="0.35">
      <c r="A45" t="s">
        <v>98</v>
      </c>
      <c r="B45" t="s">
        <v>473</v>
      </c>
      <c r="C45" t="s">
        <v>781</v>
      </c>
      <c r="D45">
        <v>51</v>
      </c>
      <c r="E45">
        <v>76</v>
      </c>
      <c r="F45">
        <v>39</v>
      </c>
      <c r="G45" t="str">
        <f>IF(F45&gt;=50,"Pass","Fail")</f>
        <v>Fail</v>
      </c>
      <c r="H45" t="str" cm="1">
        <f t="array" ref="H45">_xlfn.IFS(F45&gt;=80,"Distinction",F45&gt;=60,"Pass",F45&lt;60,"Fail")</f>
        <v>Fail</v>
      </c>
      <c r="I45" t="str">
        <f>IF(OR(D45&lt;75,E45&lt;50),"Needs Intervention","Okay")</f>
        <v>Needs Intervention</v>
      </c>
    </row>
    <row r="46" spans="1:9" x14ac:dyDescent="0.35">
      <c r="A46" t="s">
        <v>99</v>
      </c>
      <c r="B46" t="s">
        <v>474</v>
      </c>
      <c r="C46" t="s">
        <v>782</v>
      </c>
      <c r="D46">
        <v>55</v>
      </c>
      <c r="E46">
        <v>84</v>
      </c>
      <c r="F46">
        <v>96</v>
      </c>
      <c r="G46" t="str">
        <f>IF(F46&gt;=50,"Pass","Fail")</f>
        <v>Pass</v>
      </c>
      <c r="H46" t="str" cm="1">
        <f t="array" ref="H46">_xlfn.IFS(F46&gt;=80,"Distinction",F46&gt;=60,"Pass",F46&lt;60,"Fail")</f>
        <v>Distinction</v>
      </c>
      <c r="I46" t="str">
        <f>IF(OR(D46&lt;75,E46&lt;50),"Needs Intervention","Okay")</f>
        <v>Needs Intervention</v>
      </c>
    </row>
    <row r="47" spans="1:9" x14ac:dyDescent="0.35">
      <c r="A47" t="s">
        <v>101</v>
      </c>
      <c r="B47" t="s">
        <v>476</v>
      </c>
      <c r="C47" t="s">
        <v>782</v>
      </c>
      <c r="D47">
        <v>53</v>
      </c>
      <c r="E47">
        <v>81</v>
      </c>
      <c r="F47">
        <v>63</v>
      </c>
      <c r="G47" t="str">
        <f>IF(F47&gt;=50,"Pass","Fail")</f>
        <v>Pass</v>
      </c>
      <c r="H47" t="str" cm="1">
        <f t="array" ref="H47">_xlfn.IFS(F47&gt;=80,"Distinction",F47&gt;=60,"Pass",F47&lt;60,"Fail")</f>
        <v>Pass</v>
      </c>
      <c r="I47" t="str">
        <f>IF(OR(D47&lt;75,E47&lt;50),"Needs Intervention","Okay")</f>
        <v>Needs Intervention</v>
      </c>
    </row>
    <row r="48" spans="1:9" x14ac:dyDescent="0.35">
      <c r="A48" t="s">
        <v>102</v>
      </c>
      <c r="B48" t="s">
        <v>477</v>
      </c>
      <c r="C48" t="s">
        <v>783</v>
      </c>
      <c r="D48">
        <v>78</v>
      </c>
      <c r="E48">
        <v>45</v>
      </c>
      <c r="F48">
        <v>37</v>
      </c>
      <c r="G48" t="str">
        <f>IF(F48&gt;=50,"Pass","Fail")</f>
        <v>Fail</v>
      </c>
      <c r="H48" t="str" cm="1">
        <f t="array" ref="H48">_xlfn.IFS(F48&gt;=80,"Distinction",F48&gt;=60,"Pass",F48&lt;60,"Fail")</f>
        <v>Fail</v>
      </c>
      <c r="I48" t="str">
        <f>IF(OR(D48&lt;75,E48&lt;50),"Needs Intervention","Okay")</f>
        <v>Needs Intervention</v>
      </c>
    </row>
    <row r="49" spans="1:9" x14ac:dyDescent="0.35">
      <c r="A49" t="s">
        <v>103</v>
      </c>
      <c r="B49" t="s">
        <v>478</v>
      </c>
      <c r="C49" t="s">
        <v>783</v>
      </c>
      <c r="D49">
        <v>67</v>
      </c>
      <c r="E49">
        <v>42</v>
      </c>
      <c r="F49">
        <v>69</v>
      </c>
      <c r="G49" t="str">
        <f>IF(F49&gt;=50,"Pass","Fail")</f>
        <v>Pass</v>
      </c>
      <c r="H49" t="str" cm="1">
        <f t="array" ref="H49">_xlfn.IFS(F49&gt;=80,"Distinction",F49&gt;=60,"Pass",F49&lt;60,"Fail")</f>
        <v>Pass</v>
      </c>
      <c r="I49" t="str">
        <f>IF(OR(D49&lt;75,E49&lt;50),"Needs Intervention","Okay")</f>
        <v>Needs Intervention</v>
      </c>
    </row>
    <row r="50" spans="1:9" x14ac:dyDescent="0.35">
      <c r="A50" t="s">
        <v>105</v>
      </c>
      <c r="B50" t="s">
        <v>480</v>
      </c>
      <c r="C50" t="s">
        <v>780</v>
      </c>
      <c r="D50">
        <v>93</v>
      </c>
      <c r="E50">
        <v>48</v>
      </c>
      <c r="F50">
        <v>70</v>
      </c>
      <c r="G50" t="str">
        <f>IF(F50&gt;=50,"Pass","Fail")</f>
        <v>Pass</v>
      </c>
      <c r="H50" t="str" cm="1">
        <f t="array" ref="H50">_xlfn.IFS(F50&gt;=80,"Distinction",F50&gt;=60,"Pass",F50&lt;60,"Fail")</f>
        <v>Pass</v>
      </c>
      <c r="I50" t="str">
        <f>IF(OR(D50&lt;75,E50&lt;50),"Needs Intervention","Okay")</f>
        <v>Needs Intervention</v>
      </c>
    </row>
    <row r="51" spans="1:9" x14ac:dyDescent="0.35">
      <c r="A51" t="s">
        <v>106</v>
      </c>
      <c r="B51" t="s">
        <v>481</v>
      </c>
      <c r="C51" t="s">
        <v>782</v>
      </c>
      <c r="D51">
        <v>83</v>
      </c>
      <c r="E51">
        <v>46</v>
      </c>
      <c r="F51">
        <v>35</v>
      </c>
      <c r="G51" t="str">
        <f>IF(F51&gt;=50,"Pass","Fail")</f>
        <v>Fail</v>
      </c>
      <c r="H51" t="str" cm="1">
        <f t="array" ref="H51">_xlfn.IFS(F51&gt;=80,"Distinction",F51&gt;=60,"Pass",F51&lt;60,"Fail")</f>
        <v>Fail</v>
      </c>
      <c r="I51" t="str">
        <f>IF(OR(D51&lt;75,E51&lt;50),"Needs Intervention","Okay")</f>
        <v>Needs Intervention</v>
      </c>
    </row>
    <row r="52" spans="1:9" x14ac:dyDescent="0.35">
      <c r="A52" t="s">
        <v>107</v>
      </c>
      <c r="B52" t="s">
        <v>482</v>
      </c>
      <c r="C52" t="s">
        <v>783</v>
      </c>
      <c r="D52">
        <v>59</v>
      </c>
      <c r="E52">
        <v>92</v>
      </c>
      <c r="F52">
        <v>81</v>
      </c>
      <c r="G52" t="str">
        <f>IF(F52&gt;=50,"Pass","Fail")</f>
        <v>Pass</v>
      </c>
      <c r="H52" t="str" cm="1">
        <f t="array" ref="H52">_xlfn.IFS(F52&gt;=80,"Distinction",F52&gt;=60,"Pass",F52&lt;60,"Fail")</f>
        <v>Distinction</v>
      </c>
      <c r="I52" t="str">
        <f>IF(OR(D52&lt;75,E52&lt;50),"Needs Intervention","Okay")</f>
        <v>Needs Intervention</v>
      </c>
    </row>
    <row r="53" spans="1:9" x14ac:dyDescent="0.35">
      <c r="A53" t="s">
        <v>108</v>
      </c>
      <c r="B53" t="s">
        <v>483</v>
      </c>
      <c r="C53" t="s">
        <v>784</v>
      </c>
      <c r="D53">
        <v>85</v>
      </c>
      <c r="E53">
        <v>48</v>
      </c>
      <c r="F53">
        <v>55</v>
      </c>
      <c r="G53" t="str">
        <f>IF(F53&gt;=50,"Pass","Fail")</f>
        <v>Pass</v>
      </c>
      <c r="H53" t="str" cm="1">
        <f t="array" ref="H53">_xlfn.IFS(F53&gt;=80,"Distinction",F53&gt;=60,"Pass",F53&lt;60,"Fail")</f>
        <v>Fail</v>
      </c>
      <c r="I53" t="str">
        <f>IF(OR(D53&lt;75,E53&lt;50),"Needs Intervention","Okay")</f>
        <v>Needs Intervention</v>
      </c>
    </row>
    <row r="54" spans="1:9" x14ac:dyDescent="0.35">
      <c r="A54" t="s">
        <v>109</v>
      </c>
      <c r="B54" t="s">
        <v>484</v>
      </c>
      <c r="C54" t="s">
        <v>782</v>
      </c>
      <c r="D54">
        <v>63</v>
      </c>
      <c r="E54">
        <v>87</v>
      </c>
      <c r="F54">
        <v>93</v>
      </c>
      <c r="G54" t="str">
        <f>IF(F54&gt;=50,"Pass","Fail")</f>
        <v>Pass</v>
      </c>
      <c r="H54" t="str" cm="1">
        <f t="array" ref="H54">_xlfn.IFS(F54&gt;=80,"Distinction",F54&gt;=60,"Pass",F54&lt;60,"Fail")</f>
        <v>Distinction</v>
      </c>
      <c r="I54" t="str">
        <f>IF(OR(D54&lt;75,E54&lt;50),"Needs Intervention","Okay")</f>
        <v>Needs Intervention</v>
      </c>
    </row>
    <row r="55" spans="1:9" x14ac:dyDescent="0.35">
      <c r="A55" t="s">
        <v>112</v>
      </c>
      <c r="B55" t="s">
        <v>487</v>
      </c>
      <c r="C55" t="s">
        <v>782</v>
      </c>
      <c r="D55">
        <v>64</v>
      </c>
      <c r="E55">
        <v>52</v>
      </c>
      <c r="F55">
        <v>88</v>
      </c>
      <c r="G55" t="str">
        <f>IF(F55&gt;=50,"Pass","Fail")</f>
        <v>Pass</v>
      </c>
      <c r="H55" t="str" cm="1">
        <f t="array" ref="H55">_xlfn.IFS(F55&gt;=80,"Distinction",F55&gt;=60,"Pass",F55&lt;60,"Fail")</f>
        <v>Distinction</v>
      </c>
      <c r="I55" t="str">
        <f>IF(OR(D55&lt;75,E55&lt;50),"Needs Intervention","Okay")</f>
        <v>Needs Intervention</v>
      </c>
    </row>
    <row r="56" spans="1:9" x14ac:dyDescent="0.35">
      <c r="A56" t="s">
        <v>113</v>
      </c>
      <c r="B56" t="s">
        <v>488</v>
      </c>
      <c r="C56" t="s">
        <v>784</v>
      </c>
      <c r="D56">
        <v>57</v>
      </c>
      <c r="E56">
        <v>38</v>
      </c>
      <c r="F56">
        <v>99</v>
      </c>
      <c r="G56" t="str">
        <f>IF(F56&gt;=50,"Pass","Fail")</f>
        <v>Pass</v>
      </c>
      <c r="H56" t="str" cm="1">
        <f t="array" ref="H56">_xlfn.IFS(F56&gt;=80,"Distinction",F56&gt;=60,"Pass",F56&lt;60,"Fail")</f>
        <v>Distinction</v>
      </c>
      <c r="I56" t="str">
        <f>IF(OR(D56&lt;75,E56&lt;50),"Needs Intervention","Okay")</f>
        <v>Needs Intervention</v>
      </c>
    </row>
    <row r="57" spans="1:9" x14ac:dyDescent="0.35">
      <c r="A57" t="s">
        <v>114</v>
      </c>
      <c r="B57" t="s">
        <v>489</v>
      </c>
      <c r="C57" t="s">
        <v>783</v>
      </c>
      <c r="D57">
        <v>63</v>
      </c>
      <c r="E57">
        <v>41</v>
      </c>
      <c r="F57">
        <v>62</v>
      </c>
      <c r="G57" t="str">
        <f>IF(F57&gt;=50,"Pass","Fail")</f>
        <v>Pass</v>
      </c>
      <c r="H57" t="str" cm="1">
        <f t="array" ref="H57">_xlfn.IFS(F57&gt;=80,"Distinction",F57&gt;=60,"Pass",F57&lt;60,"Fail")</f>
        <v>Pass</v>
      </c>
      <c r="I57" t="str">
        <f>IF(OR(D57&lt;75,E57&lt;50),"Needs Intervention","Okay")</f>
        <v>Needs Intervention</v>
      </c>
    </row>
    <row r="58" spans="1:9" x14ac:dyDescent="0.35">
      <c r="A58" t="s">
        <v>115</v>
      </c>
      <c r="B58" t="s">
        <v>490</v>
      </c>
      <c r="C58" t="s">
        <v>782</v>
      </c>
      <c r="D58">
        <v>72</v>
      </c>
      <c r="E58">
        <v>30</v>
      </c>
      <c r="F58">
        <v>82</v>
      </c>
      <c r="G58" t="str">
        <f>IF(F58&gt;=50,"Pass","Fail")</f>
        <v>Pass</v>
      </c>
      <c r="H58" t="str" cm="1">
        <f t="array" ref="H58">_xlfn.IFS(F58&gt;=80,"Distinction",F58&gt;=60,"Pass",F58&lt;60,"Fail")</f>
        <v>Distinction</v>
      </c>
      <c r="I58" t="str">
        <f>IF(OR(D58&lt;75,E58&lt;50),"Needs Intervention","Okay")</f>
        <v>Needs Intervention</v>
      </c>
    </row>
    <row r="59" spans="1:9" x14ac:dyDescent="0.35">
      <c r="A59" t="s">
        <v>117</v>
      </c>
      <c r="B59" t="s">
        <v>492</v>
      </c>
      <c r="C59" t="s">
        <v>783</v>
      </c>
      <c r="D59">
        <v>70</v>
      </c>
      <c r="E59">
        <v>30</v>
      </c>
      <c r="F59">
        <v>50</v>
      </c>
      <c r="G59" t="str">
        <f>IF(F59&gt;=50,"Pass","Fail")</f>
        <v>Pass</v>
      </c>
      <c r="H59" t="str" cm="1">
        <f t="array" ref="H59">_xlfn.IFS(F59&gt;=80,"Distinction",F59&gt;=60,"Pass",F59&lt;60,"Fail")</f>
        <v>Fail</v>
      </c>
      <c r="I59" t="str">
        <f>IF(OR(D59&lt;75,E59&lt;50),"Needs Intervention","Okay")</f>
        <v>Needs Intervention</v>
      </c>
    </row>
    <row r="60" spans="1:9" x14ac:dyDescent="0.35">
      <c r="A60" t="s">
        <v>118</v>
      </c>
      <c r="B60" t="s">
        <v>493</v>
      </c>
      <c r="C60" t="s">
        <v>784</v>
      </c>
      <c r="D60">
        <v>65</v>
      </c>
      <c r="E60">
        <v>63</v>
      </c>
      <c r="F60">
        <v>99</v>
      </c>
      <c r="G60" t="str">
        <f>IF(F60&gt;=50,"Pass","Fail")</f>
        <v>Pass</v>
      </c>
      <c r="H60" t="str" cm="1">
        <f t="array" ref="H60">_xlfn.IFS(F60&gt;=80,"Distinction",F60&gt;=60,"Pass",F60&lt;60,"Fail")</f>
        <v>Distinction</v>
      </c>
      <c r="I60" t="str">
        <f>IF(OR(D60&lt;75,E60&lt;50),"Needs Intervention","Okay")</f>
        <v>Needs Intervention</v>
      </c>
    </row>
    <row r="61" spans="1:9" x14ac:dyDescent="0.35">
      <c r="A61" t="s">
        <v>120</v>
      </c>
      <c r="B61" t="s">
        <v>495</v>
      </c>
      <c r="C61" t="s">
        <v>781</v>
      </c>
      <c r="D61">
        <v>67</v>
      </c>
      <c r="E61">
        <v>30</v>
      </c>
      <c r="F61">
        <v>33</v>
      </c>
      <c r="G61" t="str">
        <f>IF(F61&gt;=50,"Pass","Fail")</f>
        <v>Fail</v>
      </c>
      <c r="H61" t="str" cm="1">
        <f t="array" ref="H61">_xlfn.IFS(F61&gt;=80,"Distinction",F61&gt;=60,"Pass",F61&lt;60,"Fail")</f>
        <v>Fail</v>
      </c>
      <c r="I61" t="str">
        <f>IF(OR(D61&lt;75,E61&lt;50),"Needs Intervention","Okay")</f>
        <v>Needs Intervention</v>
      </c>
    </row>
    <row r="62" spans="1:9" x14ac:dyDescent="0.35">
      <c r="A62" t="s">
        <v>121</v>
      </c>
      <c r="B62" t="s">
        <v>496</v>
      </c>
      <c r="C62" t="s">
        <v>781</v>
      </c>
      <c r="D62">
        <v>96</v>
      </c>
      <c r="E62">
        <v>45</v>
      </c>
      <c r="F62">
        <v>91</v>
      </c>
      <c r="G62" t="str">
        <f>IF(F62&gt;=50,"Pass","Fail")</f>
        <v>Pass</v>
      </c>
      <c r="H62" t="str" cm="1">
        <f t="array" ref="H62">_xlfn.IFS(F62&gt;=80,"Distinction",F62&gt;=60,"Pass",F62&lt;60,"Fail")</f>
        <v>Distinction</v>
      </c>
      <c r="I62" t="str">
        <f>IF(OR(D62&lt;75,E62&lt;50),"Needs Intervention","Okay")</f>
        <v>Needs Intervention</v>
      </c>
    </row>
    <row r="63" spans="1:9" x14ac:dyDescent="0.35">
      <c r="A63" t="s">
        <v>122</v>
      </c>
      <c r="B63" t="s">
        <v>497</v>
      </c>
      <c r="C63" t="s">
        <v>780</v>
      </c>
      <c r="D63">
        <v>73</v>
      </c>
      <c r="E63">
        <v>90</v>
      </c>
      <c r="F63">
        <v>91</v>
      </c>
      <c r="G63" t="str">
        <f>IF(F63&gt;=50,"Pass","Fail")</f>
        <v>Pass</v>
      </c>
      <c r="H63" t="str" cm="1">
        <f t="array" ref="H63">_xlfn.IFS(F63&gt;=80,"Distinction",F63&gt;=60,"Pass",F63&lt;60,"Fail")</f>
        <v>Distinction</v>
      </c>
      <c r="I63" t="str">
        <f>IF(OR(D63&lt;75,E63&lt;50),"Needs Intervention","Okay")</f>
        <v>Needs Intervention</v>
      </c>
    </row>
    <row r="64" spans="1:9" x14ac:dyDescent="0.35">
      <c r="A64" t="s">
        <v>124</v>
      </c>
      <c r="B64" t="s">
        <v>499</v>
      </c>
      <c r="C64" t="s">
        <v>784</v>
      </c>
      <c r="D64">
        <v>74</v>
      </c>
      <c r="E64">
        <v>92</v>
      </c>
      <c r="F64">
        <v>84</v>
      </c>
      <c r="G64" t="str">
        <f>IF(F64&gt;=50,"Pass","Fail")</f>
        <v>Pass</v>
      </c>
      <c r="H64" t="str" cm="1">
        <f t="array" ref="H64">_xlfn.IFS(F64&gt;=80,"Distinction",F64&gt;=60,"Pass",F64&lt;60,"Fail")</f>
        <v>Distinction</v>
      </c>
      <c r="I64" t="str">
        <f>IF(OR(D64&lt;75,E64&lt;50),"Needs Intervention","Okay")</f>
        <v>Needs Intervention</v>
      </c>
    </row>
    <row r="65" spans="1:9" x14ac:dyDescent="0.35">
      <c r="A65" t="s">
        <v>128</v>
      </c>
      <c r="B65" t="s">
        <v>503</v>
      </c>
      <c r="C65" t="s">
        <v>784</v>
      </c>
      <c r="D65">
        <v>64</v>
      </c>
      <c r="E65">
        <v>55</v>
      </c>
      <c r="F65">
        <v>69</v>
      </c>
      <c r="G65" t="str">
        <f>IF(F65&gt;=50,"Pass","Fail")</f>
        <v>Pass</v>
      </c>
      <c r="H65" t="str" cm="1">
        <f t="array" ref="H65">_xlfn.IFS(F65&gt;=80,"Distinction",F65&gt;=60,"Pass",F65&lt;60,"Fail")</f>
        <v>Pass</v>
      </c>
      <c r="I65" t="str">
        <f>IF(OR(D65&lt;75,E65&lt;50),"Needs Intervention","Okay")</f>
        <v>Needs Intervention</v>
      </c>
    </row>
    <row r="66" spans="1:9" x14ac:dyDescent="0.35">
      <c r="A66" t="s">
        <v>129</v>
      </c>
      <c r="B66" t="s">
        <v>504</v>
      </c>
      <c r="C66" t="s">
        <v>783</v>
      </c>
      <c r="D66">
        <v>94</v>
      </c>
      <c r="E66">
        <v>45</v>
      </c>
      <c r="F66">
        <v>65</v>
      </c>
      <c r="G66" t="str">
        <f>IF(F66&gt;=50,"Pass","Fail")</f>
        <v>Pass</v>
      </c>
      <c r="H66" t="str" cm="1">
        <f t="array" ref="H66">_xlfn.IFS(F66&gt;=80,"Distinction",F66&gt;=60,"Pass",F66&lt;60,"Fail")</f>
        <v>Pass</v>
      </c>
      <c r="I66" t="str">
        <f>IF(OR(D66&lt;75,E66&lt;50),"Needs Intervention","Okay")</f>
        <v>Needs Intervention</v>
      </c>
    </row>
    <row r="67" spans="1:9" x14ac:dyDescent="0.35">
      <c r="A67" t="s">
        <v>130</v>
      </c>
      <c r="B67" t="s">
        <v>505</v>
      </c>
      <c r="C67" t="s">
        <v>783</v>
      </c>
      <c r="D67">
        <v>50</v>
      </c>
      <c r="E67">
        <v>80</v>
      </c>
      <c r="F67">
        <v>53</v>
      </c>
      <c r="G67" t="str">
        <f>IF(F67&gt;=50,"Pass","Fail")</f>
        <v>Pass</v>
      </c>
      <c r="H67" t="str" cm="1">
        <f t="array" ref="H67">_xlfn.IFS(F67&gt;=80,"Distinction",F67&gt;=60,"Pass",F67&lt;60,"Fail")</f>
        <v>Fail</v>
      </c>
      <c r="I67" t="str">
        <f>IF(OR(D67&lt;75,E67&lt;50),"Needs Intervention","Okay")</f>
        <v>Needs Intervention</v>
      </c>
    </row>
    <row r="68" spans="1:9" x14ac:dyDescent="0.35">
      <c r="A68" t="s">
        <v>131</v>
      </c>
      <c r="B68" t="s">
        <v>506</v>
      </c>
      <c r="C68" t="s">
        <v>781</v>
      </c>
      <c r="D68">
        <v>74</v>
      </c>
      <c r="E68">
        <v>86</v>
      </c>
      <c r="F68">
        <v>35</v>
      </c>
      <c r="G68" t="str">
        <f>IF(F68&gt;=50,"Pass","Fail")</f>
        <v>Fail</v>
      </c>
      <c r="H68" t="str" cm="1">
        <f t="array" ref="H68">_xlfn.IFS(F68&gt;=80,"Distinction",F68&gt;=60,"Pass",F68&lt;60,"Fail")</f>
        <v>Fail</v>
      </c>
      <c r="I68" t="str">
        <f>IF(OR(D68&lt;75,E68&lt;50),"Needs Intervention","Okay")</f>
        <v>Needs Intervention</v>
      </c>
    </row>
    <row r="69" spans="1:9" x14ac:dyDescent="0.35">
      <c r="A69" t="s">
        <v>132</v>
      </c>
      <c r="B69" t="s">
        <v>507</v>
      </c>
      <c r="C69" t="s">
        <v>780</v>
      </c>
      <c r="D69">
        <v>56</v>
      </c>
      <c r="E69">
        <v>58</v>
      </c>
      <c r="F69">
        <v>95</v>
      </c>
      <c r="G69" t="str">
        <f>IF(F69&gt;=50,"Pass","Fail")</f>
        <v>Pass</v>
      </c>
      <c r="H69" t="str" cm="1">
        <f t="array" ref="H69">_xlfn.IFS(F69&gt;=80,"Distinction",F69&gt;=60,"Pass",F69&lt;60,"Fail")</f>
        <v>Distinction</v>
      </c>
      <c r="I69" t="str">
        <f>IF(OR(D69&lt;75,E69&lt;50),"Needs Intervention","Okay")</f>
        <v>Needs Intervention</v>
      </c>
    </row>
    <row r="70" spans="1:9" x14ac:dyDescent="0.35">
      <c r="A70" t="s">
        <v>133</v>
      </c>
      <c r="B70" t="s">
        <v>508</v>
      </c>
      <c r="C70" t="s">
        <v>780</v>
      </c>
      <c r="D70">
        <v>58</v>
      </c>
      <c r="E70">
        <v>98</v>
      </c>
      <c r="F70">
        <v>33</v>
      </c>
      <c r="G70" t="str">
        <f>IF(F70&gt;=50,"Pass","Fail")</f>
        <v>Fail</v>
      </c>
      <c r="H70" t="str" cm="1">
        <f t="array" ref="H70">_xlfn.IFS(F70&gt;=80,"Distinction",F70&gt;=60,"Pass",F70&lt;60,"Fail")</f>
        <v>Fail</v>
      </c>
      <c r="I70" t="str">
        <f>IF(OR(D70&lt;75,E70&lt;50),"Needs Intervention","Okay")</f>
        <v>Needs Intervention</v>
      </c>
    </row>
    <row r="71" spans="1:9" x14ac:dyDescent="0.35">
      <c r="A71" t="s">
        <v>134</v>
      </c>
      <c r="B71" t="s">
        <v>509</v>
      </c>
      <c r="C71" t="s">
        <v>784</v>
      </c>
      <c r="D71">
        <v>73</v>
      </c>
      <c r="E71">
        <v>76</v>
      </c>
      <c r="F71">
        <v>35</v>
      </c>
      <c r="G71" t="str">
        <f>IF(F71&gt;=50,"Pass","Fail")</f>
        <v>Fail</v>
      </c>
      <c r="H71" t="str" cm="1">
        <f t="array" ref="H71">_xlfn.IFS(F71&gt;=80,"Distinction",F71&gt;=60,"Pass",F71&lt;60,"Fail")</f>
        <v>Fail</v>
      </c>
      <c r="I71" t="str">
        <f>IF(OR(D71&lt;75,E71&lt;50),"Needs Intervention","Okay")</f>
        <v>Needs Intervention</v>
      </c>
    </row>
    <row r="72" spans="1:9" x14ac:dyDescent="0.35">
      <c r="A72" t="s">
        <v>135</v>
      </c>
      <c r="B72" t="s">
        <v>510</v>
      </c>
      <c r="C72" t="s">
        <v>782</v>
      </c>
      <c r="D72">
        <v>50</v>
      </c>
      <c r="E72">
        <v>91</v>
      </c>
      <c r="F72">
        <v>80</v>
      </c>
      <c r="G72" t="str">
        <f>IF(F72&gt;=50,"Pass","Fail")</f>
        <v>Pass</v>
      </c>
      <c r="H72" t="str" cm="1">
        <f t="array" ref="H72">_xlfn.IFS(F72&gt;=80,"Distinction",F72&gt;=60,"Pass",F72&lt;60,"Fail")</f>
        <v>Distinction</v>
      </c>
      <c r="I72" t="str">
        <f>IF(OR(D72&lt;75,E72&lt;50),"Needs Intervention","Okay")</f>
        <v>Needs Intervention</v>
      </c>
    </row>
    <row r="73" spans="1:9" x14ac:dyDescent="0.35">
      <c r="A73" t="s">
        <v>137</v>
      </c>
      <c r="B73" t="s">
        <v>512</v>
      </c>
      <c r="C73" t="s">
        <v>781</v>
      </c>
      <c r="D73">
        <v>57</v>
      </c>
      <c r="E73">
        <v>45</v>
      </c>
      <c r="F73">
        <v>86</v>
      </c>
      <c r="G73" t="str">
        <f>IF(F73&gt;=50,"Pass","Fail")</f>
        <v>Pass</v>
      </c>
      <c r="H73" t="str" cm="1">
        <f t="array" ref="H73">_xlfn.IFS(F73&gt;=80,"Distinction",F73&gt;=60,"Pass",F73&lt;60,"Fail")</f>
        <v>Distinction</v>
      </c>
      <c r="I73" t="str">
        <f>IF(OR(D73&lt;75,E73&lt;50),"Needs Intervention","Okay")</f>
        <v>Needs Intervention</v>
      </c>
    </row>
    <row r="74" spans="1:9" x14ac:dyDescent="0.35">
      <c r="A74" t="s">
        <v>138</v>
      </c>
      <c r="B74" t="s">
        <v>513</v>
      </c>
      <c r="C74" t="s">
        <v>784</v>
      </c>
      <c r="D74">
        <v>73</v>
      </c>
      <c r="E74">
        <v>77</v>
      </c>
      <c r="F74">
        <v>95</v>
      </c>
      <c r="G74" t="str">
        <f>IF(F74&gt;=50,"Pass","Fail")</f>
        <v>Pass</v>
      </c>
      <c r="H74" t="str" cm="1">
        <f t="array" ref="H74">_xlfn.IFS(F74&gt;=80,"Distinction",F74&gt;=60,"Pass",F74&lt;60,"Fail")</f>
        <v>Distinction</v>
      </c>
      <c r="I74" t="str">
        <f>IF(OR(D74&lt;75,E74&lt;50),"Needs Intervention","Okay")</f>
        <v>Needs Intervention</v>
      </c>
    </row>
    <row r="75" spans="1:9" x14ac:dyDescent="0.35">
      <c r="A75" t="s">
        <v>139</v>
      </c>
      <c r="B75" t="s">
        <v>514</v>
      </c>
      <c r="C75" t="s">
        <v>784</v>
      </c>
      <c r="D75">
        <v>60</v>
      </c>
      <c r="E75">
        <v>68</v>
      </c>
      <c r="F75">
        <v>37</v>
      </c>
      <c r="G75" t="str">
        <f>IF(F75&gt;=50,"Pass","Fail")</f>
        <v>Fail</v>
      </c>
      <c r="H75" t="str" cm="1">
        <f t="array" ref="H75">_xlfn.IFS(F75&gt;=80,"Distinction",F75&gt;=60,"Pass",F75&lt;60,"Fail")</f>
        <v>Fail</v>
      </c>
      <c r="I75" t="str">
        <f>IF(OR(D75&lt;75,E75&lt;50),"Needs Intervention","Okay")</f>
        <v>Needs Intervention</v>
      </c>
    </row>
    <row r="76" spans="1:9" x14ac:dyDescent="0.35">
      <c r="A76" t="s">
        <v>141</v>
      </c>
      <c r="B76" t="s">
        <v>516</v>
      </c>
      <c r="C76" t="s">
        <v>783</v>
      </c>
      <c r="D76">
        <v>66</v>
      </c>
      <c r="E76">
        <v>52</v>
      </c>
      <c r="F76">
        <v>80</v>
      </c>
      <c r="G76" t="str">
        <f>IF(F76&gt;=50,"Pass","Fail")</f>
        <v>Pass</v>
      </c>
      <c r="H76" t="str" cm="1">
        <f t="array" ref="H76">_xlfn.IFS(F76&gt;=80,"Distinction",F76&gt;=60,"Pass",F76&lt;60,"Fail")</f>
        <v>Distinction</v>
      </c>
      <c r="I76" t="str">
        <f>IF(OR(D76&lt;75,E76&lt;50),"Needs Intervention","Okay")</f>
        <v>Needs Intervention</v>
      </c>
    </row>
    <row r="77" spans="1:9" x14ac:dyDescent="0.35">
      <c r="A77" t="s">
        <v>142</v>
      </c>
      <c r="B77" t="s">
        <v>517</v>
      </c>
      <c r="C77" t="s">
        <v>782</v>
      </c>
      <c r="D77">
        <v>57</v>
      </c>
      <c r="E77">
        <v>39</v>
      </c>
      <c r="F77">
        <v>74</v>
      </c>
      <c r="G77" t="str">
        <f>IF(F77&gt;=50,"Pass","Fail")</f>
        <v>Pass</v>
      </c>
      <c r="H77" t="str" cm="1">
        <f t="array" ref="H77">_xlfn.IFS(F77&gt;=80,"Distinction",F77&gt;=60,"Pass",F77&lt;60,"Fail")</f>
        <v>Pass</v>
      </c>
      <c r="I77" t="str">
        <f>IF(OR(D77&lt;75,E77&lt;50),"Needs Intervention","Okay")</f>
        <v>Needs Intervention</v>
      </c>
    </row>
    <row r="78" spans="1:9" x14ac:dyDescent="0.35">
      <c r="A78" t="s">
        <v>146</v>
      </c>
      <c r="B78" t="s">
        <v>521</v>
      </c>
      <c r="C78" t="s">
        <v>783</v>
      </c>
      <c r="D78">
        <v>54</v>
      </c>
      <c r="E78">
        <v>39</v>
      </c>
      <c r="F78">
        <v>55</v>
      </c>
      <c r="G78" t="str">
        <f>IF(F78&gt;=50,"Pass","Fail")</f>
        <v>Pass</v>
      </c>
      <c r="H78" t="str" cm="1">
        <f t="array" ref="H78">_xlfn.IFS(F78&gt;=80,"Distinction",F78&gt;=60,"Pass",F78&lt;60,"Fail")</f>
        <v>Fail</v>
      </c>
      <c r="I78" t="str">
        <f>IF(OR(D78&lt;75,E78&lt;50),"Needs Intervention","Okay")</f>
        <v>Needs Intervention</v>
      </c>
    </row>
    <row r="79" spans="1:9" x14ac:dyDescent="0.35">
      <c r="A79" t="s">
        <v>147</v>
      </c>
      <c r="B79" t="s">
        <v>522</v>
      </c>
      <c r="C79" t="s">
        <v>782</v>
      </c>
      <c r="D79">
        <v>91</v>
      </c>
      <c r="E79">
        <v>48</v>
      </c>
      <c r="F79">
        <v>97</v>
      </c>
      <c r="G79" t="str">
        <f>IF(F79&gt;=50,"Pass","Fail")</f>
        <v>Pass</v>
      </c>
      <c r="H79" t="str" cm="1">
        <f t="array" ref="H79">_xlfn.IFS(F79&gt;=80,"Distinction",F79&gt;=60,"Pass",F79&lt;60,"Fail")</f>
        <v>Distinction</v>
      </c>
      <c r="I79" t="str">
        <f>IF(OR(D79&lt;75,E79&lt;50),"Needs Intervention","Okay")</f>
        <v>Needs Intervention</v>
      </c>
    </row>
    <row r="80" spans="1:9" x14ac:dyDescent="0.35">
      <c r="A80" t="s">
        <v>149</v>
      </c>
      <c r="B80" t="s">
        <v>524</v>
      </c>
      <c r="C80" t="s">
        <v>780</v>
      </c>
      <c r="D80">
        <v>90</v>
      </c>
      <c r="E80">
        <v>30</v>
      </c>
      <c r="F80">
        <v>49</v>
      </c>
      <c r="G80" t="str">
        <f>IF(F80&gt;=50,"Pass","Fail")</f>
        <v>Fail</v>
      </c>
      <c r="H80" t="str" cm="1">
        <f t="array" ref="H80">_xlfn.IFS(F80&gt;=80,"Distinction",F80&gt;=60,"Pass",F80&lt;60,"Fail")</f>
        <v>Fail</v>
      </c>
      <c r="I80" t="str">
        <f>IF(OR(D80&lt;75,E80&lt;50),"Needs Intervention","Okay")</f>
        <v>Needs Intervention</v>
      </c>
    </row>
    <row r="81" spans="1:9" x14ac:dyDescent="0.35">
      <c r="A81" t="s">
        <v>151</v>
      </c>
      <c r="B81" t="s">
        <v>526</v>
      </c>
      <c r="C81" t="s">
        <v>780</v>
      </c>
      <c r="D81">
        <v>56</v>
      </c>
      <c r="E81">
        <v>33</v>
      </c>
      <c r="F81">
        <v>76</v>
      </c>
      <c r="G81" t="str">
        <f>IF(F81&gt;=50,"Pass","Fail")</f>
        <v>Pass</v>
      </c>
      <c r="H81" t="str" cm="1">
        <f t="array" ref="H81">_xlfn.IFS(F81&gt;=80,"Distinction",F81&gt;=60,"Pass",F81&lt;60,"Fail")</f>
        <v>Pass</v>
      </c>
      <c r="I81" t="str">
        <f>IF(OR(D81&lt;75,E81&lt;50),"Needs Intervention","Okay")</f>
        <v>Needs Intervention</v>
      </c>
    </row>
    <row r="82" spans="1:9" x14ac:dyDescent="0.35">
      <c r="A82" t="s">
        <v>152</v>
      </c>
      <c r="B82" t="s">
        <v>527</v>
      </c>
      <c r="C82" t="s">
        <v>784</v>
      </c>
      <c r="D82">
        <v>58</v>
      </c>
      <c r="E82">
        <v>45</v>
      </c>
      <c r="F82">
        <v>30</v>
      </c>
      <c r="G82" t="str">
        <f>IF(F82&gt;=50,"Pass","Fail")</f>
        <v>Fail</v>
      </c>
      <c r="H82" t="str" cm="1">
        <f t="array" ref="H82">_xlfn.IFS(F82&gt;=80,"Distinction",F82&gt;=60,"Pass",F82&lt;60,"Fail")</f>
        <v>Fail</v>
      </c>
      <c r="I82" t="str">
        <f>IF(OR(D82&lt;75,E82&lt;50),"Needs Intervention","Okay")</f>
        <v>Needs Intervention</v>
      </c>
    </row>
    <row r="83" spans="1:9" x14ac:dyDescent="0.35">
      <c r="A83" t="s">
        <v>153</v>
      </c>
      <c r="B83" t="s">
        <v>528</v>
      </c>
      <c r="C83" t="s">
        <v>780</v>
      </c>
      <c r="D83">
        <v>57</v>
      </c>
      <c r="E83">
        <v>53</v>
      </c>
      <c r="F83">
        <v>43</v>
      </c>
      <c r="G83" t="str">
        <f>IF(F83&gt;=50,"Pass","Fail")</f>
        <v>Fail</v>
      </c>
      <c r="H83" t="str" cm="1">
        <f t="array" ref="H83">_xlfn.IFS(F83&gt;=80,"Distinction",F83&gt;=60,"Pass",F83&lt;60,"Fail")</f>
        <v>Fail</v>
      </c>
      <c r="I83" t="str">
        <f>IF(OR(D83&lt;75,E83&lt;50),"Needs Intervention","Okay")</f>
        <v>Needs Intervention</v>
      </c>
    </row>
    <row r="84" spans="1:9" x14ac:dyDescent="0.35">
      <c r="A84" t="s">
        <v>154</v>
      </c>
      <c r="B84" t="s">
        <v>529</v>
      </c>
      <c r="C84" t="s">
        <v>784</v>
      </c>
      <c r="D84">
        <v>61</v>
      </c>
      <c r="E84">
        <v>31</v>
      </c>
      <c r="F84">
        <v>93</v>
      </c>
      <c r="G84" t="str">
        <f>IF(F84&gt;=50,"Pass","Fail")</f>
        <v>Pass</v>
      </c>
      <c r="H84" t="str" cm="1">
        <f t="array" ref="H84">_xlfn.IFS(F84&gt;=80,"Distinction",F84&gt;=60,"Pass",F84&lt;60,"Fail")</f>
        <v>Distinction</v>
      </c>
      <c r="I84" t="str">
        <f>IF(OR(D84&lt;75,E84&lt;50),"Needs Intervention","Okay")</f>
        <v>Needs Intervention</v>
      </c>
    </row>
    <row r="85" spans="1:9" x14ac:dyDescent="0.35">
      <c r="A85" t="s">
        <v>157</v>
      </c>
      <c r="B85" t="s">
        <v>532</v>
      </c>
      <c r="C85" t="s">
        <v>781</v>
      </c>
      <c r="D85">
        <v>97</v>
      </c>
      <c r="E85">
        <v>41</v>
      </c>
      <c r="F85">
        <v>40</v>
      </c>
      <c r="G85" t="str">
        <f>IF(F85&gt;=50,"Pass","Fail")</f>
        <v>Fail</v>
      </c>
      <c r="H85" t="str" cm="1">
        <f t="array" ref="H85">_xlfn.IFS(F85&gt;=80,"Distinction",F85&gt;=60,"Pass",F85&lt;60,"Fail")</f>
        <v>Fail</v>
      </c>
      <c r="I85" t="str">
        <f>IF(OR(D85&lt;75,E85&lt;50),"Needs Intervention","Okay")</f>
        <v>Needs Intervention</v>
      </c>
    </row>
    <row r="86" spans="1:9" x14ac:dyDescent="0.35">
      <c r="A86" t="s">
        <v>158</v>
      </c>
      <c r="B86" t="s">
        <v>533</v>
      </c>
      <c r="C86" t="s">
        <v>783</v>
      </c>
      <c r="D86">
        <v>72</v>
      </c>
      <c r="E86">
        <v>79</v>
      </c>
      <c r="F86">
        <v>32</v>
      </c>
      <c r="G86" t="str">
        <f>IF(F86&gt;=50,"Pass","Fail")</f>
        <v>Fail</v>
      </c>
      <c r="H86" t="str" cm="1">
        <f t="array" ref="H86">_xlfn.IFS(F86&gt;=80,"Distinction",F86&gt;=60,"Pass",F86&lt;60,"Fail")</f>
        <v>Fail</v>
      </c>
      <c r="I86" t="str">
        <f>IF(OR(D86&lt;75,E86&lt;50),"Needs Intervention","Okay")</f>
        <v>Needs Intervention</v>
      </c>
    </row>
    <row r="87" spans="1:9" x14ac:dyDescent="0.35">
      <c r="A87" t="s">
        <v>159</v>
      </c>
      <c r="B87" t="s">
        <v>534</v>
      </c>
      <c r="C87" t="s">
        <v>783</v>
      </c>
      <c r="D87">
        <v>73</v>
      </c>
      <c r="E87">
        <v>64</v>
      </c>
      <c r="F87">
        <v>62</v>
      </c>
      <c r="G87" t="str">
        <f>IF(F87&gt;=50,"Pass","Fail")</f>
        <v>Pass</v>
      </c>
      <c r="H87" t="str" cm="1">
        <f t="array" ref="H87">_xlfn.IFS(F87&gt;=80,"Distinction",F87&gt;=60,"Pass",F87&lt;60,"Fail")</f>
        <v>Pass</v>
      </c>
      <c r="I87" t="str">
        <f>IF(OR(D87&lt;75,E87&lt;50),"Needs Intervention","Okay")</f>
        <v>Needs Intervention</v>
      </c>
    </row>
    <row r="88" spans="1:9" x14ac:dyDescent="0.35">
      <c r="A88" t="s">
        <v>164</v>
      </c>
      <c r="B88" t="s">
        <v>539</v>
      </c>
      <c r="C88" t="s">
        <v>783</v>
      </c>
      <c r="D88">
        <v>71</v>
      </c>
      <c r="E88">
        <v>72</v>
      </c>
      <c r="F88">
        <v>52</v>
      </c>
      <c r="G88" t="str">
        <f>IF(F88&gt;=50,"Pass","Fail")</f>
        <v>Pass</v>
      </c>
      <c r="H88" t="str" cm="1">
        <f t="array" ref="H88">_xlfn.IFS(F88&gt;=80,"Distinction",F88&gt;=60,"Pass",F88&lt;60,"Fail")</f>
        <v>Fail</v>
      </c>
      <c r="I88" t="str">
        <f>IF(OR(D88&lt;75,E88&lt;50),"Needs Intervention","Okay")</f>
        <v>Needs Intervention</v>
      </c>
    </row>
    <row r="89" spans="1:9" x14ac:dyDescent="0.35">
      <c r="A89" t="s">
        <v>165</v>
      </c>
      <c r="B89" t="s">
        <v>540</v>
      </c>
      <c r="C89" t="s">
        <v>781</v>
      </c>
      <c r="D89">
        <v>76</v>
      </c>
      <c r="E89">
        <v>41</v>
      </c>
      <c r="F89">
        <v>39</v>
      </c>
      <c r="G89" t="str">
        <f>IF(F89&gt;=50,"Pass","Fail")</f>
        <v>Fail</v>
      </c>
      <c r="H89" t="str" cm="1">
        <f t="array" ref="H89">_xlfn.IFS(F89&gt;=80,"Distinction",F89&gt;=60,"Pass",F89&lt;60,"Fail")</f>
        <v>Fail</v>
      </c>
      <c r="I89" t="str">
        <f>IF(OR(D89&lt;75,E89&lt;50),"Needs Intervention","Okay")</f>
        <v>Needs Intervention</v>
      </c>
    </row>
    <row r="90" spans="1:9" x14ac:dyDescent="0.35">
      <c r="A90" t="s">
        <v>167</v>
      </c>
      <c r="B90" t="s">
        <v>542</v>
      </c>
      <c r="C90" t="s">
        <v>781</v>
      </c>
      <c r="D90">
        <v>50</v>
      </c>
      <c r="E90">
        <v>94</v>
      </c>
      <c r="F90">
        <v>31</v>
      </c>
      <c r="G90" t="str">
        <f>IF(F90&gt;=50,"Pass","Fail")</f>
        <v>Fail</v>
      </c>
      <c r="H90" t="str" cm="1">
        <f t="array" ref="H90">_xlfn.IFS(F90&gt;=80,"Distinction",F90&gt;=60,"Pass",F90&lt;60,"Fail")</f>
        <v>Fail</v>
      </c>
      <c r="I90" t="str">
        <f>IF(OR(D90&lt;75,E90&lt;50),"Needs Intervention","Okay")</f>
        <v>Needs Intervention</v>
      </c>
    </row>
    <row r="91" spans="1:9" x14ac:dyDescent="0.35">
      <c r="A91" t="s">
        <v>171</v>
      </c>
      <c r="B91" t="s">
        <v>546</v>
      </c>
      <c r="C91" t="s">
        <v>784</v>
      </c>
      <c r="D91">
        <v>63</v>
      </c>
      <c r="E91">
        <v>73</v>
      </c>
      <c r="F91">
        <v>94</v>
      </c>
      <c r="G91" t="str">
        <f>IF(F91&gt;=50,"Pass","Fail")</f>
        <v>Pass</v>
      </c>
      <c r="H91" t="str" cm="1">
        <f t="array" ref="H91">_xlfn.IFS(F91&gt;=80,"Distinction",F91&gt;=60,"Pass",F91&lt;60,"Fail")</f>
        <v>Distinction</v>
      </c>
      <c r="I91" t="str">
        <f>IF(OR(D91&lt;75,E91&lt;50),"Needs Intervention","Okay")</f>
        <v>Needs Intervention</v>
      </c>
    </row>
    <row r="92" spans="1:9" x14ac:dyDescent="0.35">
      <c r="A92" t="s">
        <v>172</v>
      </c>
      <c r="B92" t="s">
        <v>547</v>
      </c>
      <c r="C92" t="s">
        <v>784</v>
      </c>
      <c r="D92">
        <v>52</v>
      </c>
      <c r="E92">
        <v>58</v>
      </c>
      <c r="F92">
        <v>92</v>
      </c>
      <c r="G92" t="str">
        <f>IF(F92&gt;=50,"Pass","Fail")</f>
        <v>Pass</v>
      </c>
      <c r="H92" t="str" cm="1">
        <f t="array" ref="H92">_xlfn.IFS(F92&gt;=80,"Distinction",F92&gt;=60,"Pass",F92&lt;60,"Fail")</f>
        <v>Distinction</v>
      </c>
      <c r="I92" t="str">
        <f>IF(OR(D92&lt;75,E92&lt;50),"Needs Intervention","Okay")</f>
        <v>Needs Intervention</v>
      </c>
    </row>
    <row r="93" spans="1:9" x14ac:dyDescent="0.35">
      <c r="A93" t="s">
        <v>173</v>
      </c>
      <c r="B93" t="s">
        <v>548</v>
      </c>
      <c r="C93" t="s">
        <v>782</v>
      </c>
      <c r="D93">
        <v>50</v>
      </c>
      <c r="E93">
        <v>42</v>
      </c>
      <c r="F93">
        <v>46</v>
      </c>
      <c r="G93" t="str">
        <f>IF(F93&gt;=50,"Pass","Fail")</f>
        <v>Fail</v>
      </c>
      <c r="H93" t="str" cm="1">
        <f t="array" ref="H93">_xlfn.IFS(F93&gt;=80,"Distinction",F93&gt;=60,"Pass",F93&lt;60,"Fail")</f>
        <v>Fail</v>
      </c>
      <c r="I93" t="str">
        <f>IF(OR(D93&lt;75,E93&lt;50),"Needs Intervention","Okay")</f>
        <v>Needs Intervention</v>
      </c>
    </row>
    <row r="94" spans="1:9" x14ac:dyDescent="0.35">
      <c r="A94" t="s">
        <v>174</v>
      </c>
      <c r="B94" t="s">
        <v>549</v>
      </c>
      <c r="C94" t="s">
        <v>783</v>
      </c>
      <c r="D94">
        <v>54</v>
      </c>
      <c r="E94">
        <v>41</v>
      </c>
      <c r="F94">
        <v>38</v>
      </c>
      <c r="G94" t="str">
        <f>IF(F94&gt;=50,"Pass","Fail")</f>
        <v>Fail</v>
      </c>
      <c r="H94" t="str" cm="1">
        <f t="array" ref="H94">_xlfn.IFS(F94&gt;=80,"Distinction",F94&gt;=60,"Pass",F94&lt;60,"Fail")</f>
        <v>Fail</v>
      </c>
      <c r="I94" t="str">
        <f>IF(OR(D94&lt;75,E94&lt;50),"Needs Intervention","Okay")</f>
        <v>Needs Intervention</v>
      </c>
    </row>
    <row r="95" spans="1:9" x14ac:dyDescent="0.35">
      <c r="A95" t="s">
        <v>176</v>
      </c>
      <c r="B95" t="s">
        <v>551</v>
      </c>
      <c r="C95" t="s">
        <v>782</v>
      </c>
      <c r="D95">
        <v>63</v>
      </c>
      <c r="E95">
        <v>31</v>
      </c>
      <c r="F95">
        <v>53</v>
      </c>
      <c r="G95" t="str">
        <f>IF(F95&gt;=50,"Pass","Fail")</f>
        <v>Pass</v>
      </c>
      <c r="H95" t="str" cm="1">
        <f t="array" ref="H95">_xlfn.IFS(F95&gt;=80,"Distinction",F95&gt;=60,"Pass",F95&lt;60,"Fail")</f>
        <v>Fail</v>
      </c>
      <c r="I95" t="str">
        <f>IF(OR(D95&lt;75,E95&lt;50),"Needs Intervention","Okay")</f>
        <v>Needs Intervention</v>
      </c>
    </row>
    <row r="96" spans="1:9" x14ac:dyDescent="0.35">
      <c r="A96" t="s">
        <v>178</v>
      </c>
      <c r="B96" t="s">
        <v>553</v>
      </c>
      <c r="C96" t="s">
        <v>780</v>
      </c>
      <c r="D96">
        <v>76</v>
      </c>
      <c r="E96">
        <v>37</v>
      </c>
      <c r="F96">
        <v>64</v>
      </c>
      <c r="G96" t="str">
        <f>IF(F96&gt;=50,"Pass","Fail")</f>
        <v>Pass</v>
      </c>
      <c r="H96" t="str" cm="1">
        <f t="array" ref="H96">_xlfn.IFS(F96&gt;=80,"Distinction",F96&gt;=60,"Pass",F96&lt;60,"Fail")</f>
        <v>Pass</v>
      </c>
      <c r="I96" t="str">
        <f>IF(OR(D96&lt;75,E96&lt;50),"Needs Intervention","Okay")</f>
        <v>Needs Intervention</v>
      </c>
    </row>
    <row r="97" spans="1:9" x14ac:dyDescent="0.35">
      <c r="A97" t="s">
        <v>179</v>
      </c>
      <c r="B97" t="s">
        <v>554</v>
      </c>
      <c r="C97" t="s">
        <v>782</v>
      </c>
      <c r="D97">
        <v>58</v>
      </c>
      <c r="E97">
        <v>55</v>
      </c>
      <c r="F97">
        <v>78</v>
      </c>
      <c r="G97" t="str">
        <f>IF(F97&gt;=50,"Pass","Fail")</f>
        <v>Pass</v>
      </c>
      <c r="H97" t="str" cm="1">
        <f t="array" ref="H97">_xlfn.IFS(F97&gt;=80,"Distinction",F97&gt;=60,"Pass",F97&lt;60,"Fail")</f>
        <v>Pass</v>
      </c>
      <c r="I97" t="str">
        <f>IF(OR(D97&lt;75,E97&lt;50),"Needs Intervention","Okay")</f>
        <v>Needs Intervention</v>
      </c>
    </row>
    <row r="98" spans="1:9" x14ac:dyDescent="0.35">
      <c r="A98" t="s">
        <v>180</v>
      </c>
      <c r="B98" t="s">
        <v>555</v>
      </c>
      <c r="C98" t="s">
        <v>782</v>
      </c>
      <c r="D98">
        <v>64</v>
      </c>
      <c r="E98">
        <v>63</v>
      </c>
      <c r="F98">
        <v>98</v>
      </c>
      <c r="G98" t="str">
        <f>IF(F98&gt;=50,"Pass","Fail")</f>
        <v>Pass</v>
      </c>
      <c r="H98" t="str" cm="1">
        <f t="array" ref="H98">_xlfn.IFS(F98&gt;=80,"Distinction",F98&gt;=60,"Pass",F98&lt;60,"Fail")</f>
        <v>Distinction</v>
      </c>
      <c r="I98" t="str">
        <f>IF(OR(D98&lt;75,E98&lt;50),"Needs Intervention","Okay")</f>
        <v>Needs Intervention</v>
      </c>
    </row>
    <row r="99" spans="1:9" x14ac:dyDescent="0.35">
      <c r="A99" t="s">
        <v>181</v>
      </c>
      <c r="B99" t="s">
        <v>556</v>
      </c>
      <c r="C99" t="s">
        <v>783</v>
      </c>
      <c r="D99">
        <v>64</v>
      </c>
      <c r="E99">
        <v>36</v>
      </c>
      <c r="F99">
        <v>91</v>
      </c>
      <c r="G99" t="str">
        <f>IF(F99&gt;=50,"Pass","Fail")</f>
        <v>Pass</v>
      </c>
      <c r="H99" t="str" cm="1">
        <f t="array" ref="H99">_xlfn.IFS(F99&gt;=80,"Distinction",F99&gt;=60,"Pass",F99&lt;60,"Fail")</f>
        <v>Distinction</v>
      </c>
      <c r="I99" t="str">
        <f>IF(OR(D99&lt;75,E99&lt;50),"Needs Intervention","Okay")</f>
        <v>Needs Intervention</v>
      </c>
    </row>
    <row r="100" spans="1:9" x14ac:dyDescent="0.35">
      <c r="A100" t="s">
        <v>184</v>
      </c>
      <c r="B100" t="s">
        <v>559</v>
      </c>
      <c r="C100" t="s">
        <v>784</v>
      </c>
      <c r="D100">
        <v>62</v>
      </c>
      <c r="E100">
        <v>58</v>
      </c>
      <c r="F100">
        <v>38</v>
      </c>
      <c r="G100" t="str">
        <f>IF(F100&gt;=50,"Pass","Fail")</f>
        <v>Fail</v>
      </c>
      <c r="H100" t="str" cm="1">
        <f t="array" ref="H100">_xlfn.IFS(F100&gt;=80,"Distinction",F100&gt;=60,"Pass",F100&lt;60,"Fail")</f>
        <v>Fail</v>
      </c>
      <c r="I100" t="str">
        <f>IF(OR(D100&lt;75,E100&lt;50),"Needs Intervention","Okay")</f>
        <v>Needs Intervention</v>
      </c>
    </row>
    <row r="101" spans="1:9" x14ac:dyDescent="0.35">
      <c r="A101" t="s">
        <v>188</v>
      </c>
      <c r="B101" t="s">
        <v>563</v>
      </c>
      <c r="C101" t="s">
        <v>784</v>
      </c>
      <c r="D101">
        <v>98</v>
      </c>
      <c r="E101">
        <v>39</v>
      </c>
      <c r="F101">
        <v>69</v>
      </c>
      <c r="G101" t="str">
        <f>IF(F101&gt;=50,"Pass","Fail")</f>
        <v>Pass</v>
      </c>
      <c r="H101" t="str" cm="1">
        <f t="array" ref="H101">_xlfn.IFS(F101&gt;=80,"Distinction",F101&gt;=60,"Pass",F101&lt;60,"Fail")</f>
        <v>Pass</v>
      </c>
      <c r="I101" t="str">
        <f>IF(OR(D101&lt;75,E101&lt;50),"Needs Intervention","Okay")</f>
        <v>Needs Intervention</v>
      </c>
    </row>
    <row r="102" spans="1:9" x14ac:dyDescent="0.35">
      <c r="A102" t="s">
        <v>190</v>
      </c>
      <c r="B102" t="s">
        <v>565</v>
      </c>
      <c r="C102" t="s">
        <v>782</v>
      </c>
      <c r="D102">
        <v>53</v>
      </c>
      <c r="E102">
        <v>93</v>
      </c>
      <c r="F102">
        <v>51</v>
      </c>
      <c r="G102" t="str">
        <f>IF(F102&gt;=50,"Pass","Fail")</f>
        <v>Pass</v>
      </c>
      <c r="H102" t="str" cm="1">
        <f t="array" ref="H102">_xlfn.IFS(F102&gt;=80,"Distinction",F102&gt;=60,"Pass",F102&lt;60,"Fail")</f>
        <v>Fail</v>
      </c>
      <c r="I102" t="str">
        <f>IF(OR(D102&lt;75,E102&lt;50),"Needs Intervention","Okay")</f>
        <v>Needs Intervention</v>
      </c>
    </row>
    <row r="103" spans="1:9" x14ac:dyDescent="0.35">
      <c r="A103" t="s">
        <v>193</v>
      </c>
      <c r="B103" t="s">
        <v>568</v>
      </c>
      <c r="C103" t="s">
        <v>782</v>
      </c>
      <c r="D103">
        <v>72</v>
      </c>
      <c r="E103">
        <v>53</v>
      </c>
      <c r="F103">
        <v>40</v>
      </c>
      <c r="G103" t="str">
        <f>IF(F103&gt;=50,"Pass","Fail")</f>
        <v>Fail</v>
      </c>
      <c r="H103" t="str" cm="1">
        <f t="array" ref="H103">_xlfn.IFS(F103&gt;=80,"Distinction",F103&gt;=60,"Pass",F103&lt;60,"Fail")</f>
        <v>Fail</v>
      </c>
      <c r="I103" t="str">
        <f>IF(OR(D103&lt;75,E103&lt;50),"Needs Intervention","Okay")</f>
        <v>Needs Intervention</v>
      </c>
    </row>
    <row r="104" spans="1:9" x14ac:dyDescent="0.35">
      <c r="A104" t="s">
        <v>196</v>
      </c>
      <c r="B104" t="s">
        <v>571</v>
      </c>
      <c r="C104" t="s">
        <v>781</v>
      </c>
      <c r="D104">
        <v>64</v>
      </c>
      <c r="E104">
        <v>66</v>
      </c>
      <c r="F104">
        <v>59</v>
      </c>
      <c r="G104" t="str">
        <f>IF(F104&gt;=50,"Pass","Fail")</f>
        <v>Pass</v>
      </c>
      <c r="H104" t="str" cm="1">
        <f t="array" ref="H104">_xlfn.IFS(F104&gt;=80,"Distinction",F104&gt;=60,"Pass",F104&lt;60,"Fail")</f>
        <v>Fail</v>
      </c>
      <c r="I104" t="str">
        <f>IF(OR(D104&lt;75,E104&lt;50),"Needs Intervention","Okay")</f>
        <v>Needs Intervention</v>
      </c>
    </row>
    <row r="105" spans="1:9" x14ac:dyDescent="0.35">
      <c r="A105" t="s">
        <v>197</v>
      </c>
      <c r="B105" t="s">
        <v>572</v>
      </c>
      <c r="C105" t="s">
        <v>782</v>
      </c>
      <c r="D105">
        <v>92</v>
      </c>
      <c r="E105">
        <v>41</v>
      </c>
      <c r="F105">
        <v>64</v>
      </c>
      <c r="G105" t="str">
        <f>IF(F105&gt;=50,"Pass","Fail")</f>
        <v>Pass</v>
      </c>
      <c r="H105" t="str" cm="1">
        <f t="array" ref="H105">_xlfn.IFS(F105&gt;=80,"Distinction",F105&gt;=60,"Pass",F105&lt;60,"Fail")</f>
        <v>Pass</v>
      </c>
      <c r="I105" t="str">
        <f>IF(OR(D105&lt;75,E105&lt;50),"Needs Intervention","Okay")</f>
        <v>Needs Intervention</v>
      </c>
    </row>
    <row r="106" spans="1:9" x14ac:dyDescent="0.35">
      <c r="A106" t="s">
        <v>199</v>
      </c>
      <c r="B106" t="s">
        <v>574</v>
      </c>
      <c r="C106" t="s">
        <v>782</v>
      </c>
      <c r="D106">
        <v>85</v>
      </c>
      <c r="E106">
        <v>42</v>
      </c>
      <c r="F106">
        <v>34</v>
      </c>
      <c r="G106" t="str">
        <f>IF(F106&gt;=50,"Pass","Fail")</f>
        <v>Fail</v>
      </c>
      <c r="H106" t="str" cm="1">
        <f t="array" ref="H106">_xlfn.IFS(F106&gt;=80,"Distinction",F106&gt;=60,"Pass",F106&lt;60,"Fail")</f>
        <v>Fail</v>
      </c>
      <c r="I106" t="str">
        <f>IF(OR(D106&lt;75,E106&lt;50),"Needs Intervention","Okay")</f>
        <v>Needs Intervention</v>
      </c>
    </row>
    <row r="107" spans="1:9" x14ac:dyDescent="0.35">
      <c r="A107" t="s">
        <v>200</v>
      </c>
      <c r="B107" t="s">
        <v>575</v>
      </c>
      <c r="C107" t="s">
        <v>781</v>
      </c>
      <c r="D107">
        <v>62</v>
      </c>
      <c r="E107">
        <v>52</v>
      </c>
      <c r="F107">
        <v>55</v>
      </c>
      <c r="G107" t="str">
        <f>IF(F107&gt;=50,"Pass","Fail")</f>
        <v>Pass</v>
      </c>
      <c r="H107" t="str" cm="1">
        <f t="array" ref="H107">_xlfn.IFS(F107&gt;=80,"Distinction",F107&gt;=60,"Pass",F107&lt;60,"Fail")</f>
        <v>Fail</v>
      </c>
      <c r="I107" t="str">
        <f>IF(OR(D107&lt;75,E107&lt;50),"Needs Intervention","Okay")</f>
        <v>Needs Intervention</v>
      </c>
    </row>
    <row r="108" spans="1:9" x14ac:dyDescent="0.35">
      <c r="A108" t="s">
        <v>202</v>
      </c>
      <c r="B108" t="s">
        <v>577</v>
      </c>
      <c r="C108" t="s">
        <v>784</v>
      </c>
      <c r="D108">
        <v>56</v>
      </c>
      <c r="E108">
        <v>46</v>
      </c>
      <c r="F108">
        <v>33</v>
      </c>
      <c r="G108" t="str">
        <f>IF(F108&gt;=50,"Pass","Fail")</f>
        <v>Fail</v>
      </c>
      <c r="H108" t="str" cm="1">
        <f t="array" ref="H108">_xlfn.IFS(F108&gt;=80,"Distinction",F108&gt;=60,"Pass",F108&lt;60,"Fail")</f>
        <v>Fail</v>
      </c>
      <c r="I108" t="str">
        <f>IF(OR(D108&lt;75,E108&lt;50),"Needs Intervention","Okay")</f>
        <v>Needs Intervention</v>
      </c>
    </row>
    <row r="109" spans="1:9" x14ac:dyDescent="0.35">
      <c r="A109" t="s">
        <v>204</v>
      </c>
      <c r="B109" t="s">
        <v>579</v>
      </c>
      <c r="C109" t="s">
        <v>780</v>
      </c>
      <c r="D109">
        <v>71</v>
      </c>
      <c r="E109">
        <v>42</v>
      </c>
      <c r="F109">
        <v>47</v>
      </c>
      <c r="G109" t="str">
        <f>IF(F109&gt;=50,"Pass","Fail")</f>
        <v>Fail</v>
      </c>
      <c r="H109" t="str" cm="1">
        <f t="array" ref="H109">_xlfn.IFS(F109&gt;=80,"Distinction",F109&gt;=60,"Pass",F109&lt;60,"Fail")</f>
        <v>Fail</v>
      </c>
      <c r="I109" t="str">
        <f>IF(OR(D109&lt;75,E109&lt;50),"Needs Intervention","Okay")</f>
        <v>Needs Intervention</v>
      </c>
    </row>
    <row r="110" spans="1:9" x14ac:dyDescent="0.35">
      <c r="A110" t="s">
        <v>206</v>
      </c>
      <c r="B110" t="s">
        <v>581</v>
      </c>
      <c r="C110" t="s">
        <v>781</v>
      </c>
      <c r="D110">
        <v>51</v>
      </c>
      <c r="E110">
        <v>48</v>
      </c>
      <c r="F110">
        <v>68</v>
      </c>
      <c r="G110" t="str">
        <f>IF(F110&gt;=50,"Pass","Fail")</f>
        <v>Pass</v>
      </c>
      <c r="H110" t="str" cm="1">
        <f t="array" ref="H110">_xlfn.IFS(F110&gt;=80,"Distinction",F110&gt;=60,"Pass",F110&lt;60,"Fail")</f>
        <v>Pass</v>
      </c>
      <c r="I110" t="str">
        <f>IF(OR(D110&lt;75,E110&lt;50),"Needs Intervention","Okay")</f>
        <v>Needs Intervention</v>
      </c>
    </row>
    <row r="111" spans="1:9" x14ac:dyDescent="0.35">
      <c r="A111" t="s">
        <v>208</v>
      </c>
      <c r="B111" t="s">
        <v>583</v>
      </c>
      <c r="C111" t="s">
        <v>784</v>
      </c>
      <c r="D111">
        <v>94</v>
      </c>
      <c r="E111">
        <v>41</v>
      </c>
      <c r="F111">
        <v>61</v>
      </c>
      <c r="G111" t="str">
        <f>IF(F111&gt;=50,"Pass","Fail")</f>
        <v>Pass</v>
      </c>
      <c r="H111" t="str" cm="1">
        <f t="array" ref="H111">_xlfn.IFS(F111&gt;=80,"Distinction",F111&gt;=60,"Pass",F111&lt;60,"Fail")</f>
        <v>Pass</v>
      </c>
      <c r="I111" t="str">
        <f>IF(OR(D111&lt;75,E111&lt;50),"Needs Intervention","Okay")</f>
        <v>Needs Intervention</v>
      </c>
    </row>
    <row r="112" spans="1:9" x14ac:dyDescent="0.35">
      <c r="A112" t="s">
        <v>209</v>
      </c>
      <c r="B112" t="s">
        <v>584</v>
      </c>
      <c r="C112" t="s">
        <v>784</v>
      </c>
      <c r="D112">
        <v>55</v>
      </c>
      <c r="E112">
        <v>90</v>
      </c>
      <c r="F112">
        <v>80</v>
      </c>
      <c r="G112" t="str">
        <f>IF(F112&gt;=50,"Pass","Fail")</f>
        <v>Pass</v>
      </c>
      <c r="H112" t="str" cm="1">
        <f t="array" ref="H112">_xlfn.IFS(F112&gt;=80,"Distinction",F112&gt;=60,"Pass",F112&lt;60,"Fail")</f>
        <v>Distinction</v>
      </c>
      <c r="I112" t="str">
        <f>IF(OR(D112&lt;75,E112&lt;50),"Needs Intervention","Okay")</f>
        <v>Needs Intervention</v>
      </c>
    </row>
    <row r="113" spans="1:9" x14ac:dyDescent="0.35">
      <c r="A113" t="s">
        <v>210</v>
      </c>
      <c r="B113" t="s">
        <v>585</v>
      </c>
      <c r="C113" t="s">
        <v>784</v>
      </c>
      <c r="D113">
        <v>77</v>
      </c>
      <c r="E113">
        <v>48</v>
      </c>
      <c r="F113">
        <v>67</v>
      </c>
      <c r="G113" t="str">
        <f>IF(F113&gt;=50,"Pass","Fail")</f>
        <v>Pass</v>
      </c>
      <c r="H113" t="str" cm="1">
        <f t="array" ref="H113">_xlfn.IFS(F113&gt;=80,"Distinction",F113&gt;=60,"Pass",F113&lt;60,"Fail")</f>
        <v>Pass</v>
      </c>
      <c r="I113" t="str">
        <f>IF(OR(D113&lt;75,E113&lt;50),"Needs Intervention","Okay")</f>
        <v>Needs Intervention</v>
      </c>
    </row>
    <row r="114" spans="1:9" x14ac:dyDescent="0.35">
      <c r="A114" t="s">
        <v>211</v>
      </c>
      <c r="B114" t="s">
        <v>586</v>
      </c>
      <c r="C114" t="s">
        <v>780</v>
      </c>
      <c r="D114">
        <v>77</v>
      </c>
      <c r="E114">
        <v>38</v>
      </c>
      <c r="F114">
        <v>52</v>
      </c>
      <c r="G114" t="str">
        <f>IF(F114&gt;=50,"Pass","Fail")</f>
        <v>Pass</v>
      </c>
      <c r="H114" t="str" cm="1">
        <f t="array" ref="H114">_xlfn.IFS(F114&gt;=80,"Distinction",F114&gt;=60,"Pass",F114&lt;60,"Fail")</f>
        <v>Fail</v>
      </c>
      <c r="I114" t="str">
        <f>IF(OR(D114&lt;75,E114&lt;50),"Needs Intervention","Okay")</f>
        <v>Needs Intervention</v>
      </c>
    </row>
    <row r="115" spans="1:9" x14ac:dyDescent="0.35">
      <c r="A115" t="s">
        <v>214</v>
      </c>
      <c r="B115" t="s">
        <v>589</v>
      </c>
      <c r="C115" t="s">
        <v>781</v>
      </c>
      <c r="D115">
        <v>69</v>
      </c>
      <c r="E115">
        <v>81</v>
      </c>
      <c r="F115">
        <v>54</v>
      </c>
      <c r="G115" t="str">
        <f>IF(F115&gt;=50,"Pass","Fail")</f>
        <v>Pass</v>
      </c>
      <c r="H115" t="str" cm="1">
        <f t="array" ref="H115">_xlfn.IFS(F115&gt;=80,"Distinction",F115&gt;=60,"Pass",F115&lt;60,"Fail")</f>
        <v>Fail</v>
      </c>
      <c r="I115" t="str">
        <f>IF(OR(D115&lt;75,E115&lt;50),"Needs Intervention","Okay")</f>
        <v>Needs Intervention</v>
      </c>
    </row>
    <row r="116" spans="1:9" x14ac:dyDescent="0.35">
      <c r="A116" t="s">
        <v>215</v>
      </c>
      <c r="B116" t="s">
        <v>590</v>
      </c>
      <c r="C116" t="s">
        <v>784</v>
      </c>
      <c r="D116">
        <v>79</v>
      </c>
      <c r="E116">
        <v>45</v>
      </c>
      <c r="F116">
        <v>46</v>
      </c>
      <c r="G116" t="str">
        <f>IF(F116&gt;=50,"Pass","Fail")</f>
        <v>Fail</v>
      </c>
      <c r="H116" t="str" cm="1">
        <f t="array" ref="H116">_xlfn.IFS(F116&gt;=80,"Distinction",F116&gt;=60,"Pass",F116&lt;60,"Fail")</f>
        <v>Fail</v>
      </c>
      <c r="I116" t="str">
        <f>IF(OR(D116&lt;75,E116&lt;50),"Needs Intervention","Okay")</f>
        <v>Needs Intervention</v>
      </c>
    </row>
    <row r="117" spans="1:9" x14ac:dyDescent="0.35">
      <c r="A117" t="s">
        <v>216</v>
      </c>
      <c r="B117" t="s">
        <v>591</v>
      </c>
      <c r="C117" t="s">
        <v>782</v>
      </c>
      <c r="D117">
        <v>60</v>
      </c>
      <c r="E117">
        <v>98</v>
      </c>
      <c r="F117">
        <v>95</v>
      </c>
      <c r="G117" t="str">
        <f>IF(F117&gt;=50,"Pass","Fail")</f>
        <v>Pass</v>
      </c>
      <c r="H117" t="str" cm="1">
        <f t="array" ref="H117">_xlfn.IFS(F117&gt;=80,"Distinction",F117&gt;=60,"Pass",F117&lt;60,"Fail")</f>
        <v>Distinction</v>
      </c>
      <c r="I117" t="str">
        <f>IF(OR(D117&lt;75,E117&lt;50),"Needs Intervention","Okay")</f>
        <v>Needs Intervention</v>
      </c>
    </row>
    <row r="118" spans="1:9" x14ac:dyDescent="0.35">
      <c r="A118" t="s">
        <v>217</v>
      </c>
      <c r="B118" t="s">
        <v>592</v>
      </c>
      <c r="C118" t="s">
        <v>783</v>
      </c>
      <c r="D118">
        <v>77</v>
      </c>
      <c r="E118">
        <v>41</v>
      </c>
      <c r="F118">
        <v>82</v>
      </c>
      <c r="G118" t="str">
        <f>IF(F118&gt;=50,"Pass","Fail")</f>
        <v>Pass</v>
      </c>
      <c r="H118" t="str" cm="1">
        <f t="array" ref="H118">_xlfn.IFS(F118&gt;=80,"Distinction",F118&gt;=60,"Pass",F118&lt;60,"Fail")</f>
        <v>Distinction</v>
      </c>
      <c r="I118" t="str">
        <f>IF(OR(D118&lt;75,E118&lt;50),"Needs Intervention","Okay")</f>
        <v>Needs Intervention</v>
      </c>
    </row>
    <row r="119" spans="1:9" x14ac:dyDescent="0.35">
      <c r="A119" t="s">
        <v>218</v>
      </c>
      <c r="B119" t="s">
        <v>593</v>
      </c>
      <c r="C119" t="s">
        <v>782</v>
      </c>
      <c r="D119">
        <v>74</v>
      </c>
      <c r="E119">
        <v>54</v>
      </c>
      <c r="F119">
        <v>80</v>
      </c>
      <c r="G119" t="str">
        <f>IF(F119&gt;=50,"Pass","Fail")</f>
        <v>Pass</v>
      </c>
      <c r="H119" t="str" cm="1">
        <f t="array" ref="H119">_xlfn.IFS(F119&gt;=80,"Distinction",F119&gt;=60,"Pass",F119&lt;60,"Fail")</f>
        <v>Distinction</v>
      </c>
      <c r="I119" t="str">
        <f>IF(OR(D119&lt;75,E119&lt;50),"Needs Intervention","Okay")</f>
        <v>Needs Intervention</v>
      </c>
    </row>
    <row r="120" spans="1:9" x14ac:dyDescent="0.35">
      <c r="A120" t="s">
        <v>221</v>
      </c>
      <c r="B120" t="s">
        <v>596</v>
      </c>
      <c r="C120" t="s">
        <v>784</v>
      </c>
      <c r="D120">
        <v>50</v>
      </c>
      <c r="E120">
        <v>52</v>
      </c>
      <c r="F120">
        <v>99</v>
      </c>
      <c r="G120" t="str">
        <f>IF(F120&gt;=50,"Pass","Fail")</f>
        <v>Pass</v>
      </c>
      <c r="H120" t="str" cm="1">
        <f t="array" ref="H120">_xlfn.IFS(F120&gt;=80,"Distinction",F120&gt;=60,"Pass",F120&lt;60,"Fail")</f>
        <v>Distinction</v>
      </c>
      <c r="I120" t="str">
        <f>IF(OR(D120&lt;75,E120&lt;50),"Needs Intervention","Okay")</f>
        <v>Needs Intervention</v>
      </c>
    </row>
    <row r="121" spans="1:9" x14ac:dyDescent="0.35">
      <c r="A121" t="s">
        <v>222</v>
      </c>
      <c r="B121" t="s">
        <v>597</v>
      </c>
      <c r="C121" t="s">
        <v>782</v>
      </c>
      <c r="D121">
        <v>76</v>
      </c>
      <c r="E121">
        <v>45</v>
      </c>
      <c r="F121">
        <v>35</v>
      </c>
      <c r="G121" t="str">
        <f>IF(F121&gt;=50,"Pass","Fail")</f>
        <v>Fail</v>
      </c>
      <c r="H121" t="str" cm="1">
        <f t="array" ref="H121">_xlfn.IFS(F121&gt;=80,"Distinction",F121&gt;=60,"Pass",F121&lt;60,"Fail")</f>
        <v>Fail</v>
      </c>
      <c r="I121" t="str">
        <f>IF(OR(D121&lt;75,E121&lt;50),"Needs Intervention","Okay")</f>
        <v>Needs Intervention</v>
      </c>
    </row>
    <row r="122" spans="1:9" x14ac:dyDescent="0.35">
      <c r="A122" t="s">
        <v>223</v>
      </c>
      <c r="B122" t="s">
        <v>598</v>
      </c>
      <c r="C122" t="s">
        <v>782</v>
      </c>
      <c r="D122">
        <v>62</v>
      </c>
      <c r="E122">
        <v>86</v>
      </c>
      <c r="F122">
        <v>96</v>
      </c>
      <c r="G122" t="str">
        <f>IF(F122&gt;=50,"Pass","Fail")</f>
        <v>Pass</v>
      </c>
      <c r="H122" t="str" cm="1">
        <f t="array" ref="H122">_xlfn.IFS(F122&gt;=80,"Distinction",F122&gt;=60,"Pass",F122&lt;60,"Fail")</f>
        <v>Distinction</v>
      </c>
      <c r="I122" t="str">
        <f>IF(OR(D122&lt;75,E122&lt;50),"Needs Intervention","Okay")</f>
        <v>Needs Intervention</v>
      </c>
    </row>
    <row r="123" spans="1:9" x14ac:dyDescent="0.35">
      <c r="A123" t="s">
        <v>225</v>
      </c>
      <c r="B123" t="s">
        <v>600</v>
      </c>
      <c r="C123" t="s">
        <v>784</v>
      </c>
      <c r="D123">
        <v>52</v>
      </c>
      <c r="E123">
        <v>82</v>
      </c>
      <c r="F123">
        <v>80</v>
      </c>
      <c r="G123" t="str">
        <f>IF(F123&gt;=50,"Pass","Fail")</f>
        <v>Pass</v>
      </c>
      <c r="H123" t="str" cm="1">
        <f t="array" ref="H123">_xlfn.IFS(F123&gt;=80,"Distinction",F123&gt;=60,"Pass",F123&lt;60,"Fail")</f>
        <v>Distinction</v>
      </c>
      <c r="I123" t="str">
        <f>IF(OR(D123&lt;75,E123&lt;50),"Needs Intervention","Okay")</f>
        <v>Needs Intervention</v>
      </c>
    </row>
    <row r="124" spans="1:9" x14ac:dyDescent="0.35">
      <c r="A124" t="s">
        <v>227</v>
      </c>
      <c r="B124" t="s">
        <v>602</v>
      </c>
      <c r="C124" t="s">
        <v>784</v>
      </c>
      <c r="D124">
        <v>55</v>
      </c>
      <c r="E124">
        <v>87</v>
      </c>
      <c r="F124">
        <v>93</v>
      </c>
      <c r="G124" t="str">
        <f>IF(F124&gt;=50,"Pass","Fail")</f>
        <v>Pass</v>
      </c>
      <c r="H124" t="str" cm="1">
        <f t="array" ref="H124">_xlfn.IFS(F124&gt;=80,"Distinction",F124&gt;=60,"Pass",F124&lt;60,"Fail")</f>
        <v>Distinction</v>
      </c>
      <c r="I124" t="str">
        <f>IF(OR(D124&lt;75,E124&lt;50),"Needs Intervention","Okay")</f>
        <v>Needs Intervention</v>
      </c>
    </row>
    <row r="125" spans="1:9" x14ac:dyDescent="0.35">
      <c r="A125" t="s">
        <v>228</v>
      </c>
      <c r="B125" t="s">
        <v>603</v>
      </c>
      <c r="C125" t="s">
        <v>781</v>
      </c>
      <c r="D125">
        <v>57</v>
      </c>
      <c r="E125">
        <v>68</v>
      </c>
      <c r="F125">
        <v>44</v>
      </c>
      <c r="G125" t="str">
        <f>IF(F125&gt;=50,"Pass","Fail")</f>
        <v>Fail</v>
      </c>
      <c r="H125" t="str" cm="1">
        <f t="array" ref="H125">_xlfn.IFS(F125&gt;=80,"Distinction",F125&gt;=60,"Pass",F125&lt;60,"Fail")</f>
        <v>Fail</v>
      </c>
      <c r="I125" t="str">
        <f>IF(OR(D125&lt;75,E125&lt;50),"Needs Intervention","Okay")</f>
        <v>Needs Intervention</v>
      </c>
    </row>
    <row r="126" spans="1:9" x14ac:dyDescent="0.35">
      <c r="A126" t="s">
        <v>229</v>
      </c>
      <c r="B126" t="s">
        <v>604</v>
      </c>
      <c r="C126" t="s">
        <v>783</v>
      </c>
      <c r="D126">
        <v>76</v>
      </c>
      <c r="E126">
        <v>43</v>
      </c>
      <c r="F126">
        <v>58</v>
      </c>
      <c r="G126" t="str">
        <f>IF(F126&gt;=50,"Pass","Fail")</f>
        <v>Pass</v>
      </c>
      <c r="H126" t="str" cm="1">
        <f t="array" ref="H126">_xlfn.IFS(F126&gt;=80,"Distinction",F126&gt;=60,"Pass",F126&lt;60,"Fail")</f>
        <v>Fail</v>
      </c>
      <c r="I126" t="str">
        <f>IF(OR(D126&lt;75,E126&lt;50),"Needs Intervention","Okay")</f>
        <v>Needs Intervention</v>
      </c>
    </row>
    <row r="127" spans="1:9" x14ac:dyDescent="0.35">
      <c r="A127" t="s">
        <v>230</v>
      </c>
      <c r="B127" t="s">
        <v>605</v>
      </c>
      <c r="C127" t="s">
        <v>783</v>
      </c>
      <c r="D127">
        <v>58</v>
      </c>
      <c r="E127">
        <v>34</v>
      </c>
      <c r="F127">
        <v>62</v>
      </c>
      <c r="G127" t="str">
        <f>IF(F127&gt;=50,"Pass","Fail")</f>
        <v>Pass</v>
      </c>
      <c r="H127" t="str" cm="1">
        <f t="array" ref="H127">_xlfn.IFS(F127&gt;=80,"Distinction",F127&gt;=60,"Pass",F127&lt;60,"Fail")</f>
        <v>Pass</v>
      </c>
      <c r="I127" t="str">
        <f>IF(OR(D127&lt;75,E127&lt;50),"Needs Intervention","Okay")</f>
        <v>Needs Intervention</v>
      </c>
    </row>
    <row r="128" spans="1:9" x14ac:dyDescent="0.35">
      <c r="A128" t="s">
        <v>232</v>
      </c>
      <c r="B128" t="s">
        <v>607</v>
      </c>
      <c r="C128" t="s">
        <v>783</v>
      </c>
      <c r="D128">
        <v>82</v>
      </c>
      <c r="E128">
        <v>47</v>
      </c>
      <c r="F128">
        <v>65</v>
      </c>
      <c r="G128" t="str">
        <f>IF(F128&gt;=50,"Pass","Fail")</f>
        <v>Pass</v>
      </c>
      <c r="H128" t="str" cm="1">
        <f t="array" ref="H128">_xlfn.IFS(F128&gt;=80,"Distinction",F128&gt;=60,"Pass",F128&lt;60,"Fail")</f>
        <v>Pass</v>
      </c>
      <c r="I128" t="str">
        <f>IF(OR(D128&lt;75,E128&lt;50),"Needs Intervention","Okay")</f>
        <v>Needs Intervention</v>
      </c>
    </row>
    <row r="129" spans="1:9" x14ac:dyDescent="0.35">
      <c r="A129" t="s">
        <v>233</v>
      </c>
      <c r="B129" t="s">
        <v>608</v>
      </c>
      <c r="C129" t="s">
        <v>783</v>
      </c>
      <c r="D129">
        <v>100</v>
      </c>
      <c r="E129">
        <v>38</v>
      </c>
      <c r="F129">
        <v>58</v>
      </c>
      <c r="G129" t="str">
        <f>IF(F129&gt;=50,"Pass","Fail")</f>
        <v>Pass</v>
      </c>
      <c r="H129" t="str" cm="1">
        <f t="array" ref="H129">_xlfn.IFS(F129&gt;=80,"Distinction",F129&gt;=60,"Pass",F129&lt;60,"Fail")</f>
        <v>Fail</v>
      </c>
      <c r="I129" t="str">
        <f>IF(OR(D129&lt;75,E129&lt;50),"Needs Intervention","Okay")</f>
        <v>Needs Intervention</v>
      </c>
    </row>
    <row r="130" spans="1:9" x14ac:dyDescent="0.35">
      <c r="A130" t="s">
        <v>235</v>
      </c>
      <c r="B130" t="s">
        <v>610</v>
      </c>
      <c r="C130" t="s">
        <v>784</v>
      </c>
      <c r="D130">
        <v>93</v>
      </c>
      <c r="E130">
        <v>46</v>
      </c>
      <c r="F130">
        <v>86</v>
      </c>
      <c r="G130" t="str">
        <f>IF(F130&gt;=50,"Pass","Fail")</f>
        <v>Pass</v>
      </c>
      <c r="H130" t="str" cm="1">
        <f t="array" ref="H130">_xlfn.IFS(F130&gt;=80,"Distinction",F130&gt;=60,"Pass",F130&lt;60,"Fail")</f>
        <v>Distinction</v>
      </c>
      <c r="I130" t="str">
        <f>IF(OR(D130&lt;75,E130&lt;50),"Needs Intervention","Okay")</f>
        <v>Needs Intervention</v>
      </c>
    </row>
    <row r="131" spans="1:9" x14ac:dyDescent="0.35">
      <c r="A131" t="s">
        <v>236</v>
      </c>
      <c r="B131" t="s">
        <v>611</v>
      </c>
      <c r="C131" t="s">
        <v>782</v>
      </c>
      <c r="D131">
        <v>73</v>
      </c>
      <c r="E131">
        <v>36</v>
      </c>
      <c r="F131">
        <v>56</v>
      </c>
      <c r="G131" t="str">
        <f>IF(F131&gt;=50,"Pass","Fail")</f>
        <v>Pass</v>
      </c>
      <c r="H131" t="str" cm="1">
        <f t="array" ref="H131">_xlfn.IFS(F131&gt;=80,"Distinction",F131&gt;=60,"Pass",F131&lt;60,"Fail")</f>
        <v>Fail</v>
      </c>
      <c r="I131" t="str">
        <f>IF(OR(D131&lt;75,E131&lt;50),"Needs Intervention","Okay")</f>
        <v>Needs Intervention</v>
      </c>
    </row>
    <row r="132" spans="1:9" x14ac:dyDescent="0.35">
      <c r="A132" t="s">
        <v>237</v>
      </c>
      <c r="B132" t="s">
        <v>612</v>
      </c>
      <c r="C132" t="s">
        <v>784</v>
      </c>
      <c r="D132">
        <v>64</v>
      </c>
      <c r="E132">
        <v>75</v>
      </c>
      <c r="F132">
        <v>84</v>
      </c>
      <c r="G132" t="str">
        <f>IF(F132&gt;=50,"Pass","Fail")</f>
        <v>Pass</v>
      </c>
      <c r="H132" t="str" cm="1">
        <f t="array" ref="H132">_xlfn.IFS(F132&gt;=80,"Distinction",F132&gt;=60,"Pass",F132&lt;60,"Fail")</f>
        <v>Distinction</v>
      </c>
      <c r="I132" t="str">
        <f>IF(OR(D132&lt;75,E132&lt;50),"Needs Intervention","Okay")</f>
        <v>Needs Intervention</v>
      </c>
    </row>
    <row r="133" spans="1:9" x14ac:dyDescent="0.35">
      <c r="A133" t="s">
        <v>238</v>
      </c>
      <c r="B133" t="s">
        <v>613</v>
      </c>
      <c r="C133" t="s">
        <v>781</v>
      </c>
      <c r="D133">
        <v>81</v>
      </c>
      <c r="E133">
        <v>42</v>
      </c>
      <c r="F133">
        <v>62</v>
      </c>
      <c r="G133" t="str">
        <f>IF(F133&gt;=50,"Pass","Fail")</f>
        <v>Pass</v>
      </c>
      <c r="H133" t="str" cm="1">
        <f t="array" ref="H133">_xlfn.IFS(F133&gt;=80,"Distinction",F133&gt;=60,"Pass",F133&lt;60,"Fail")</f>
        <v>Pass</v>
      </c>
      <c r="I133" t="str">
        <f>IF(OR(D133&lt;75,E133&lt;50),"Needs Intervention","Okay")</f>
        <v>Needs Intervention</v>
      </c>
    </row>
    <row r="134" spans="1:9" x14ac:dyDescent="0.35">
      <c r="A134" t="s">
        <v>240</v>
      </c>
      <c r="B134" t="s">
        <v>615</v>
      </c>
      <c r="C134" t="s">
        <v>783</v>
      </c>
      <c r="D134">
        <v>73</v>
      </c>
      <c r="E134">
        <v>71</v>
      </c>
      <c r="F134">
        <v>95</v>
      </c>
      <c r="G134" t="str">
        <f>IF(F134&gt;=50,"Pass","Fail")</f>
        <v>Pass</v>
      </c>
      <c r="H134" t="str" cm="1">
        <f t="array" ref="H134">_xlfn.IFS(F134&gt;=80,"Distinction",F134&gt;=60,"Pass",F134&lt;60,"Fail")</f>
        <v>Distinction</v>
      </c>
      <c r="I134" t="str">
        <f>IF(OR(D134&lt;75,E134&lt;50),"Needs Intervention","Okay")</f>
        <v>Needs Intervention</v>
      </c>
    </row>
    <row r="135" spans="1:9" x14ac:dyDescent="0.35">
      <c r="A135" t="s">
        <v>241</v>
      </c>
      <c r="B135" t="s">
        <v>616</v>
      </c>
      <c r="C135" t="s">
        <v>782</v>
      </c>
      <c r="D135">
        <v>90</v>
      </c>
      <c r="E135">
        <v>38</v>
      </c>
      <c r="F135">
        <v>39</v>
      </c>
      <c r="G135" t="str">
        <f>IF(F135&gt;=50,"Pass","Fail")</f>
        <v>Fail</v>
      </c>
      <c r="H135" t="str" cm="1">
        <f t="array" ref="H135">_xlfn.IFS(F135&gt;=80,"Distinction",F135&gt;=60,"Pass",F135&lt;60,"Fail")</f>
        <v>Fail</v>
      </c>
      <c r="I135" t="str">
        <f>IF(OR(D135&lt;75,E135&lt;50),"Needs Intervention","Okay")</f>
        <v>Needs Intervention</v>
      </c>
    </row>
    <row r="136" spans="1:9" x14ac:dyDescent="0.35">
      <c r="A136" t="s">
        <v>244</v>
      </c>
      <c r="B136" t="s">
        <v>619</v>
      </c>
      <c r="C136" t="s">
        <v>784</v>
      </c>
      <c r="D136">
        <v>61</v>
      </c>
      <c r="E136">
        <v>95</v>
      </c>
      <c r="F136">
        <v>42</v>
      </c>
      <c r="G136" t="str">
        <f>IF(F136&gt;=50,"Pass","Fail")</f>
        <v>Fail</v>
      </c>
      <c r="H136" t="str" cm="1">
        <f t="array" ref="H136">_xlfn.IFS(F136&gt;=80,"Distinction",F136&gt;=60,"Pass",F136&lt;60,"Fail")</f>
        <v>Fail</v>
      </c>
      <c r="I136" t="str">
        <f>IF(OR(D136&lt;75,E136&lt;50),"Needs Intervention","Okay")</f>
        <v>Needs Intervention</v>
      </c>
    </row>
    <row r="137" spans="1:9" x14ac:dyDescent="0.35">
      <c r="A137" t="s">
        <v>245</v>
      </c>
      <c r="B137" t="s">
        <v>620</v>
      </c>
      <c r="C137" t="s">
        <v>783</v>
      </c>
      <c r="D137">
        <v>88</v>
      </c>
      <c r="E137">
        <v>34</v>
      </c>
      <c r="F137">
        <v>60</v>
      </c>
      <c r="G137" t="str">
        <f>IF(F137&gt;=50,"Pass","Fail")</f>
        <v>Pass</v>
      </c>
      <c r="H137" t="str" cm="1">
        <f t="array" ref="H137">_xlfn.IFS(F137&gt;=80,"Distinction",F137&gt;=60,"Pass",F137&lt;60,"Fail")</f>
        <v>Pass</v>
      </c>
      <c r="I137" t="str">
        <f>IF(OR(D137&lt;75,E137&lt;50),"Needs Intervention","Okay")</f>
        <v>Needs Intervention</v>
      </c>
    </row>
    <row r="138" spans="1:9" x14ac:dyDescent="0.35">
      <c r="A138" t="s">
        <v>246</v>
      </c>
      <c r="B138" t="s">
        <v>621</v>
      </c>
      <c r="C138" t="s">
        <v>783</v>
      </c>
      <c r="D138">
        <v>51</v>
      </c>
      <c r="E138">
        <v>58</v>
      </c>
      <c r="F138">
        <v>76</v>
      </c>
      <c r="G138" t="str">
        <f>IF(F138&gt;=50,"Pass","Fail")</f>
        <v>Pass</v>
      </c>
      <c r="H138" t="str" cm="1">
        <f t="array" ref="H138">_xlfn.IFS(F138&gt;=80,"Distinction",F138&gt;=60,"Pass",F138&lt;60,"Fail")</f>
        <v>Pass</v>
      </c>
      <c r="I138" t="str">
        <f>IF(OR(D138&lt;75,E138&lt;50),"Needs Intervention","Okay")</f>
        <v>Needs Intervention</v>
      </c>
    </row>
    <row r="139" spans="1:9" x14ac:dyDescent="0.35">
      <c r="A139" t="s">
        <v>247</v>
      </c>
      <c r="B139" t="s">
        <v>622</v>
      </c>
      <c r="C139" t="s">
        <v>784</v>
      </c>
      <c r="D139">
        <v>52</v>
      </c>
      <c r="E139">
        <v>66</v>
      </c>
      <c r="F139">
        <v>81</v>
      </c>
      <c r="G139" t="str">
        <f>IF(F139&gt;=50,"Pass","Fail")</f>
        <v>Pass</v>
      </c>
      <c r="H139" t="str" cm="1">
        <f t="array" ref="H139">_xlfn.IFS(F139&gt;=80,"Distinction",F139&gt;=60,"Pass",F139&lt;60,"Fail")</f>
        <v>Distinction</v>
      </c>
      <c r="I139" t="str">
        <f>IF(OR(D139&lt;75,E139&lt;50),"Needs Intervention","Okay")</f>
        <v>Needs Intervention</v>
      </c>
    </row>
    <row r="140" spans="1:9" x14ac:dyDescent="0.35">
      <c r="A140" t="s">
        <v>249</v>
      </c>
      <c r="B140" t="s">
        <v>624</v>
      </c>
      <c r="C140" t="s">
        <v>781</v>
      </c>
      <c r="D140">
        <v>86</v>
      </c>
      <c r="E140">
        <v>37</v>
      </c>
      <c r="F140">
        <v>44</v>
      </c>
      <c r="G140" t="str">
        <f>IF(F140&gt;=50,"Pass","Fail")</f>
        <v>Fail</v>
      </c>
      <c r="H140" t="str" cm="1">
        <f t="array" ref="H140">_xlfn.IFS(F140&gt;=80,"Distinction",F140&gt;=60,"Pass",F140&lt;60,"Fail")</f>
        <v>Fail</v>
      </c>
      <c r="I140" t="str">
        <f>IF(OR(D140&lt;75,E140&lt;50),"Needs Intervention","Okay")</f>
        <v>Needs Intervention</v>
      </c>
    </row>
    <row r="141" spans="1:9" x14ac:dyDescent="0.35">
      <c r="A141" t="s">
        <v>251</v>
      </c>
      <c r="B141" t="s">
        <v>626</v>
      </c>
      <c r="C141" t="s">
        <v>783</v>
      </c>
      <c r="D141">
        <v>66</v>
      </c>
      <c r="E141">
        <v>46</v>
      </c>
      <c r="F141">
        <v>37</v>
      </c>
      <c r="G141" t="str">
        <f>IF(F141&gt;=50,"Pass","Fail")</f>
        <v>Fail</v>
      </c>
      <c r="H141" t="str" cm="1">
        <f t="array" ref="H141">_xlfn.IFS(F141&gt;=80,"Distinction",F141&gt;=60,"Pass",F141&lt;60,"Fail")</f>
        <v>Fail</v>
      </c>
      <c r="I141" t="str">
        <f>IF(OR(D141&lt;75,E141&lt;50),"Needs Intervention","Okay")</f>
        <v>Needs Intervention</v>
      </c>
    </row>
    <row r="142" spans="1:9" x14ac:dyDescent="0.35">
      <c r="A142" t="s">
        <v>253</v>
      </c>
      <c r="B142" t="s">
        <v>628</v>
      </c>
      <c r="C142" t="s">
        <v>784</v>
      </c>
      <c r="D142">
        <v>51</v>
      </c>
      <c r="E142">
        <v>74</v>
      </c>
      <c r="F142">
        <v>58</v>
      </c>
      <c r="G142" t="str">
        <f>IF(F142&gt;=50,"Pass","Fail")</f>
        <v>Pass</v>
      </c>
      <c r="H142" t="str" cm="1">
        <f t="array" ref="H142">_xlfn.IFS(F142&gt;=80,"Distinction",F142&gt;=60,"Pass",F142&lt;60,"Fail")</f>
        <v>Fail</v>
      </c>
      <c r="I142" t="str">
        <f>IF(OR(D142&lt;75,E142&lt;50),"Needs Intervention","Okay")</f>
        <v>Needs Intervention</v>
      </c>
    </row>
    <row r="143" spans="1:9" x14ac:dyDescent="0.35">
      <c r="A143" t="s">
        <v>254</v>
      </c>
      <c r="B143" t="s">
        <v>629</v>
      </c>
      <c r="C143" t="s">
        <v>780</v>
      </c>
      <c r="D143">
        <v>51</v>
      </c>
      <c r="E143">
        <v>33</v>
      </c>
      <c r="F143">
        <v>76</v>
      </c>
      <c r="G143" t="str">
        <f>IF(F143&gt;=50,"Pass","Fail")</f>
        <v>Pass</v>
      </c>
      <c r="H143" t="str" cm="1">
        <f t="array" ref="H143">_xlfn.IFS(F143&gt;=80,"Distinction",F143&gt;=60,"Pass",F143&lt;60,"Fail")</f>
        <v>Pass</v>
      </c>
      <c r="I143" t="str">
        <f>IF(OR(D143&lt;75,E143&lt;50),"Needs Intervention","Okay")</f>
        <v>Needs Intervention</v>
      </c>
    </row>
    <row r="144" spans="1:9" x14ac:dyDescent="0.35">
      <c r="A144" t="s">
        <v>256</v>
      </c>
      <c r="B144" t="s">
        <v>631</v>
      </c>
      <c r="C144" t="s">
        <v>784</v>
      </c>
      <c r="D144">
        <v>72</v>
      </c>
      <c r="E144">
        <v>99</v>
      </c>
      <c r="F144">
        <v>74</v>
      </c>
      <c r="G144" t="str">
        <f>IF(F144&gt;=50,"Pass","Fail")</f>
        <v>Pass</v>
      </c>
      <c r="H144" t="str" cm="1">
        <f t="array" ref="H144">_xlfn.IFS(F144&gt;=80,"Distinction",F144&gt;=60,"Pass",F144&lt;60,"Fail")</f>
        <v>Pass</v>
      </c>
      <c r="I144" t="str">
        <f>IF(OR(D144&lt;75,E144&lt;50),"Needs Intervention","Okay")</f>
        <v>Needs Intervention</v>
      </c>
    </row>
    <row r="145" spans="1:9" x14ac:dyDescent="0.35">
      <c r="A145" t="s">
        <v>258</v>
      </c>
      <c r="B145" t="s">
        <v>633</v>
      </c>
      <c r="C145" t="s">
        <v>783</v>
      </c>
      <c r="D145">
        <v>81</v>
      </c>
      <c r="E145">
        <v>48</v>
      </c>
      <c r="F145">
        <v>56</v>
      </c>
      <c r="G145" t="str">
        <f>IF(F145&gt;=50,"Pass","Fail")</f>
        <v>Pass</v>
      </c>
      <c r="H145" t="str" cm="1">
        <f t="array" ref="H145">_xlfn.IFS(F145&gt;=80,"Distinction",F145&gt;=60,"Pass",F145&lt;60,"Fail")</f>
        <v>Fail</v>
      </c>
      <c r="I145" t="str">
        <f>IF(OR(D145&lt;75,E145&lt;50),"Needs Intervention","Okay")</f>
        <v>Needs Intervention</v>
      </c>
    </row>
    <row r="146" spans="1:9" x14ac:dyDescent="0.35">
      <c r="A146" t="s">
        <v>260</v>
      </c>
      <c r="B146" t="s">
        <v>635</v>
      </c>
      <c r="C146" t="s">
        <v>783</v>
      </c>
      <c r="D146">
        <v>50</v>
      </c>
      <c r="E146">
        <v>83</v>
      </c>
      <c r="F146">
        <v>65</v>
      </c>
      <c r="G146" t="str">
        <f>IF(F146&gt;=50,"Pass","Fail")</f>
        <v>Pass</v>
      </c>
      <c r="H146" t="str" cm="1">
        <f t="array" ref="H146">_xlfn.IFS(F146&gt;=80,"Distinction",F146&gt;=60,"Pass",F146&lt;60,"Fail")</f>
        <v>Pass</v>
      </c>
      <c r="I146" t="str">
        <f>IF(OR(D146&lt;75,E146&lt;50),"Needs Intervention","Okay")</f>
        <v>Needs Intervention</v>
      </c>
    </row>
    <row r="147" spans="1:9" x14ac:dyDescent="0.35">
      <c r="A147" t="s">
        <v>261</v>
      </c>
      <c r="B147" t="s">
        <v>636</v>
      </c>
      <c r="C147" t="s">
        <v>781</v>
      </c>
      <c r="D147">
        <v>68</v>
      </c>
      <c r="E147">
        <v>68</v>
      </c>
      <c r="F147">
        <v>55</v>
      </c>
      <c r="G147" t="str">
        <f>IF(F147&gt;=50,"Pass","Fail")</f>
        <v>Pass</v>
      </c>
      <c r="H147" t="str" cm="1">
        <f t="array" ref="H147">_xlfn.IFS(F147&gt;=80,"Distinction",F147&gt;=60,"Pass",F147&lt;60,"Fail")</f>
        <v>Fail</v>
      </c>
      <c r="I147" t="str">
        <f>IF(OR(D147&lt;75,E147&lt;50),"Needs Intervention","Okay")</f>
        <v>Needs Intervention</v>
      </c>
    </row>
    <row r="148" spans="1:9" x14ac:dyDescent="0.35">
      <c r="A148" t="s">
        <v>262</v>
      </c>
      <c r="B148" t="s">
        <v>637</v>
      </c>
      <c r="C148" t="s">
        <v>781</v>
      </c>
      <c r="D148">
        <v>51</v>
      </c>
      <c r="E148">
        <v>48</v>
      </c>
      <c r="F148">
        <v>72</v>
      </c>
      <c r="G148" t="str">
        <f>IF(F148&gt;=50,"Pass","Fail")</f>
        <v>Pass</v>
      </c>
      <c r="H148" t="str" cm="1">
        <f t="array" ref="H148">_xlfn.IFS(F148&gt;=80,"Distinction",F148&gt;=60,"Pass",F148&lt;60,"Fail")</f>
        <v>Pass</v>
      </c>
      <c r="I148" t="str">
        <f>IF(OR(D148&lt;75,E148&lt;50),"Needs Intervention","Okay")</f>
        <v>Needs Intervention</v>
      </c>
    </row>
    <row r="149" spans="1:9" x14ac:dyDescent="0.35">
      <c r="A149" t="s">
        <v>266</v>
      </c>
      <c r="B149" t="s">
        <v>641</v>
      </c>
      <c r="C149" t="s">
        <v>781</v>
      </c>
      <c r="D149">
        <v>55</v>
      </c>
      <c r="E149">
        <v>42</v>
      </c>
      <c r="F149">
        <v>40</v>
      </c>
      <c r="G149" t="str">
        <f>IF(F149&gt;=50,"Pass","Fail")</f>
        <v>Fail</v>
      </c>
      <c r="H149" t="str" cm="1">
        <f t="array" ref="H149">_xlfn.IFS(F149&gt;=80,"Distinction",F149&gt;=60,"Pass",F149&lt;60,"Fail")</f>
        <v>Fail</v>
      </c>
      <c r="I149" t="str">
        <f>IF(OR(D149&lt;75,E149&lt;50),"Needs Intervention","Okay")</f>
        <v>Needs Intervention</v>
      </c>
    </row>
    <row r="150" spans="1:9" x14ac:dyDescent="0.35">
      <c r="A150" t="s">
        <v>268</v>
      </c>
      <c r="B150" t="s">
        <v>643</v>
      </c>
      <c r="C150" t="s">
        <v>782</v>
      </c>
      <c r="D150">
        <v>53</v>
      </c>
      <c r="E150">
        <v>49</v>
      </c>
      <c r="F150">
        <v>35</v>
      </c>
      <c r="G150" t="str">
        <f>IF(F150&gt;=50,"Pass","Fail")</f>
        <v>Fail</v>
      </c>
      <c r="H150" t="str" cm="1">
        <f t="array" ref="H150">_xlfn.IFS(F150&gt;=80,"Distinction",F150&gt;=60,"Pass",F150&lt;60,"Fail")</f>
        <v>Fail</v>
      </c>
      <c r="I150" t="str">
        <f>IF(OR(D150&lt;75,E150&lt;50),"Needs Intervention","Okay")</f>
        <v>Needs Intervention</v>
      </c>
    </row>
    <row r="151" spans="1:9" x14ac:dyDescent="0.35">
      <c r="A151" t="s">
        <v>269</v>
      </c>
      <c r="B151" t="s">
        <v>644</v>
      </c>
      <c r="C151" t="s">
        <v>784</v>
      </c>
      <c r="D151">
        <v>60</v>
      </c>
      <c r="E151">
        <v>90</v>
      </c>
      <c r="F151">
        <v>52</v>
      </c>
      <c r="G151" t="str">
        <f>IF(F151&gt;=50,"Pass","Fail")</f>
        <v>Pass</v>
      </c>
      <c r="H151" t="str" cm="1">
        <f t="array" ref="H151">_xlfn.IFS(F151&gt;=80,"Distinction",F151&gt;=60,"Pass",F151&lt;60,"Fail")</f>
        <v>Fail</v>
      </c>
      <c r="I151" t="str">
        <f>IF(OR(D151&lt;75,E151&lt;50),"Needs Intervention","Okay")</f>
        <v>Needs Intervention</v>
      </c>
    </row>
    <row r="152" spans="1:9" x14ac:dyDescent="0.35">
      <c r="A152" t="s">
        <v>270</v>
      </c>
      <c r="B152" t="s">
        <v>645</v>
      </c>
      <c r="C152" t="s">
        <v>780</v>
      </c>
      <c r="D152">
        <v>66</v>
      </c>
      <c r="E152">
        <v>68</v>
      </c>
      <c r="F152">
        <v>76</v>
      </c>
      <c r="G152" t="str">
        <f>IF(F152&gt;=50,"Pass","Fail")</f>
        <v>Pass</v>
      </c>
      <c r="H152" t="str" cm="1">
        <f t="array" ref="H152">_xlfn.IFS(F152&gt;=80,"Distinction",F152&gt;=60,"Pass",F152&lt;60,"Fail")</f>
        <v>Pass</v>
      </c>
      <c r="I152" t="str">
        <f>IF(OR(D152&lt;75,E152&lt;50),"Needs Intervention","Okay")</f>
        <v>Needs Intervention</v>
      </c>
    </row>
    <row r="153" spans="1:9" x14ac:dyDescent="0.35">
      <c r="A153" t="s">
        <v>271</v>
      </c>
      <c r="B153" t="s">
        <v>646</v>
      </c>
      <c r="C153" t="s">
        <v>784</v>
      </c>
      <c r="D153">
        <v>87</v>
      </c>
      <c r="E153">
        <v>30</v>
      </c>
      <c r="F153">
        <v>75</v>
      </c>
      <c r="G153" t="str">
        <f>IF(F153&gt;=50,"Pass","Fail")</f>
        <v>Pass</v>
      </c>
      <c r="H153" t="str" cm="1">
        <f t="array" ref="H153">_xlfn.IFS(F153&gt;=80,"Distinction",F153&gt;=60,"Pass",F153&lt;60,"Fail")</f>
        <v>Pass</v>
      </c>
      <c r="I153" t="str">
        <f>IF(OR(D153&lt;75,E153&lt;50),"Needs Intervention","Okay")</f>
        <v>Needs Intervention</v>
      </c>
    </row>
    <row r="154" spans="1:9" x14ac:dyDescent="0.35">
      <c r="A154" t="s">
        <v>272</v>
      </c>
      <c r="B154" t="s">
        <v>647</v>
      </c>
      <c r="C154" t="s">
        <v>784</v>
      </c>
      <c r="D154">
        <v>73</v>
      </c>
      <c r="E154">
        <v>32</v>
      </c>
      <c r="F154">
        <v>41</v>
      </c>
      <c r="G154" t="str">
        <f>IF(F154&gt;=50,"Pass","Fail")</f>
        <v>Fail</v>
      </c>
      <c r="H154" t="str" cm="1">
        <f t="array" ref="H154">_xlfn.IFS(F154&gt;=80,"Distinction",F154&gt;=60,"Pass",F154&lt;60,"Fail")</f>
        <v>Fail</v>
      </c>
      <c r="I154" t="str">
        <f>IF(OR(D154&lt;75,E154&lt;50),"Needs Intervention","Okay")</f>
        <v>Needs Intervention</v>
      </c>
    </row>
    <row r="155" spans="1:9" x14ac:dyDescent="0.35">
      <c r="A155" t="s">
        <v>273</v>
      </c>
      <c r="B155" t="s">
        <v>648</v>
      </c>
      <c r="C155" t="s">
        <v>784</v>
      </c>
      <c r="D155">
        <v>54</v>
      </c>
      <c r="E155">
        <v>91</v>
      </c>
      <c r="F155">
        <v>42</v>
      </c>
      <c r="G155" t="str">
        <f>IF(F155&gt;=50,"Pass","Fail")</f>
        <v>Fail</v>
      </c>
      <c r="H155" t="str" cm="1">
        <f t="array" ref="H155">_xlfn.IFS(F155&gt;=80,"Distinction",F155&gt;=60,"Pass",F155&lt;60,"Fail")</f>
        <v>Fail</v>
      </c>
      <c r="I155" t="str">
        <f>IF(OR(D155&lt;75,E155&lt;50),"Needs Intervention","Okay")</f>
        <v>Needs Intervention</v>
      </c>
    </row>
    <row r="156" spans="1:9" x14ac:dyDescent="0.35">
      <c r="A156" t="s">
        <v>275</v>
      </c>
      <c r="B156" t="s">
        <v>650</v>
      </c>
      <c r="C156" t="s">
        <v>782</v>
      </c>
      <c r="D156">
        <v>55</v>
      </c>
      <c r="E156">
        <v>54</v>
      </c>
      <c r="F156">
        <v>89</v>
      </c>
      <c r="G156" t="str">
        <f>IF(F156&gt;=50,"Pass","Fail")</f>
        <v>Pass</v>
      </c>
      <c r="H156" t="str" cm="1">
        <f t="array" ref="H156">_xlfn.IFS(F156&gt;=80,"Distinction",F156&gt;=60,"Pass",F156&lt;60,"Fail")</f>
        <v>Distinction</v>
      </c>
      <c r="I156" t="str">
        <f>IF(OR(D156&lt;75,E156&lt;50),"Needs Intervention","Okay")</f>
        <v>Needs Intervention</v>
      </c>
    </row>
    <row r="157" spans="1:9" x14ac:dyDescent="0.35">
      <c r="A157" t="s">
        <v>276</v>
      </c>
      <c r="B157" t="s">
        <v>651</v>
      </c>
      <c r="C157" t="s">
        <v>780</v>
      </c>
      <c r="D157">
        <v>71</v>
      </c>
      <c r="E157">
        <v>85</v>
      </c>
      <c r="F157">
        <v>72</v>
      </c>
      <c r="G157" t="str">
        <f>IF(F157&gt;=50,"Pass","Fail")</f>
        <v>Pass</v>
      </c>
      <c r="H157" t="str" cm="1">
        <f t="array" ref="H157">_xlfn.IFS(F157&gt;=80,"Distinction",F157&gt;=60,"Pass",F157&lt;60,"Fail")</f>
        <v>Pass</v>
      </c>
      <c r="I157" t="str">
        <f>IF(OR(D157&lt;75,E157&lt;50),"Needs Intervention","Okay")</f>
        <v>Needs Intervention</v>
      </c>
    </row>
    <row r="158" spans="1:9" x14ac:dyDescent="0.35">
      <c r="A158" t="s">
        <v>277</v>
      </c>
      <c r="B158" t="s">
        <v>652</v>
      </c>
      <c r="C158" t="s">
        <v>782</v>
      </c>
      <c r="D158">
        <v>60</v>
      </c>
      <c r="E158">
        <v>62</v>
      </c>
      <c r="F158">
        <v>97</v>
      </c>
      <c r="G158" t="str">
        <f>IF(F158&gt;=50,"Pass","Fail")</f>
        <v>Pass</v>
      </c>
      <c r="H158" t="str" cm="1">
        <f t="array" ref="H158">_xlfn.IFS(F158&gt;=80,"Distinction",F158&gt;=60,"Pass",F158&lt;60,"Fail")</f>
        <v>Distinction</v>
      </c>
      <c r="I158" t="str">
        <f>IF(OR(D158&lt;75,E158&lt;50),"Needs Intervention","Okay")</f>
        <v>Needs Intervention</v>
      </c>
    </row>
    <row r="159" spans="1:9" x14ac:dyDescent="0.35">
      <c r="A159" t="s">
        <v>279</v>
      </c>
      <c r="B159" t="s">
        <v>654</v>
      </c>
      <c r="C159" t="s">
        <v>780</v>
      </c>
      <c r="D159">
        <v>65</v>
      </c>
      <c r="E159">
        <v>35</v>
      </c>
      <c r="F159">
        <v>66</v>
      </c>
      <c r="G159" t="str">
        <f>IF(F159&gt;=50,"Pass","Fail")</f>
        <v>Pass</v>
      </c>
      <c r="H159" t="str" cm="1">
        <f t="array" ref="H159">_xlfn.IFS(F159&gt;=80,"Distinction",F159&gt;=60,"Pass",F159&lt;60,"Fail")</f>
        <v>Pass</v>
      </c>
      <c r="I159" t="str">
        <f>IF(OR(D159&lt;75,E159&lt;50),"Needs Intervention","Okay")</f>
        <v>Needs Intervention</v>
      </c>
    </row>
    <row r="160" spans="1:9" x14ac:dyDescent="0.35">
      <c r="A160" t="s">
        <v>281</v>
      </c>
      <c r="B160" t="s">
        <v>656</v>
      </c>
      <c r="C160" t="s">
        <v>782</v>
      </c>
      <c r="D160">
        <v>58</v>
      </c>
      <c r="E160">
        <v>73</v>
      </c>
      <c r="F160">
        <v>38</v>
      </c>
      <c r="G160" t="str">
        <f>IF(F160&gt;=50,"Pass","Fail")</f>
        <v>Fail</v>
      </c>
      <c r="H160" t="str" cm="1">
        <f t="array" ref="H160">_xlfn.IFS(F160&gt;=80,"Distinction",F160&gt;=60,"Pass",F160&lt;60,"Fail")</f>
        <v>Fail</v>
      </c>
      <c r="I160" t="str">
        <f>IF(OR(D160&lt;75,E160&lt;50),"Needs Intervention","Okay")</f>
        <v>Needs Intervention</v>
      </c>
    </row>
    <row r="161" spans="1:9" x14ac:dyDescent="0.35">
      <c r="A161" t="s">
        <v>282</v>
      </c>
      <c r="B161" t="s">
        <v>657</v>
      </c>
      <c r="C161" t="s">
        <v>780</v>
      </c>
      <c r="D161">
        <v>55</v>
      </c>
      <c r="E161">
        <v>74</v>
      </c>
      <c r="F161">
        <v>80</v>
      </c>
      <c r="G161" t="str">
        <f>IF(F161&gt;=50,"Pass","Fail")</f>
        <v>Pass</v>
      </c>
      <c r="H161" t="str" cm="1">
        <f t="array" ref="H161">_xlfn.IFS(F161&gt;=80,"Distinction",F161&gt;=60,"Pass",F161&lt;60,"Fail")</f>
        <v>Distinction</v>
      </c>
      <c r="I161" t="str">
        <f>IF(OR(D161&lt;75,E161&lt;50),"Needs Intervention","Okay")</f>
        <v>Needs Intervention</v>
      </c>
    </row>
    <row r="162" spans="1:9" x14ac:dyDescent="0.35">
      <c r="A162" t="s">
        <v>283</v>
      </c>
      <c r="B162" t="s">
        <v>658</v>
      </c>
      <c r="C162" t="s">
        <v>781</v>
      </c>
      <c r="D162">
        <v>65</v>
      </c>
      <c r="E162">
        <v>61</v>
      </c>
      <c r="F162">
        <v>58</v>
      </c>
      <c r="G162" t="str">
        <f>IF(F162&gt;=50,"Pass","Fail")</f>
        <v>Pass</v>
      </c>
      <c r="H162" t="str" cm="1">
        <f t="array" ref="H162">_xlfn.IFS(F162&gt;=80,"Distinction",F162&gt;=60,"Pass",F162&lt;60,"Fail")</f>
        <v>Fail</v>
      </c>
      <c r="I162" t="str">
        <f>IF(OR(D162&lt;75,E162&lt;50),"Needs Intervention","Okay")</f>
        <v>Needs Intervention</v>
      </c>
    </row>
    <row r="163" spans="1:9" x14ac:dyDescent="0.35">
      <c r="A163" t="s">
        <v>285</v>
      </c>
      <c r="B163" t="s">
        <v>660</v>
      </c>
      <c r="C163" t="s">
        <v>783</v>
      </c>
      <c r="D163">
        <v>52</v>
      </c>
      <c r="E163">
        <v>90</v>
      </c>
      <c r="F163">
        <v>70</v>
      </c>
      <c r="G163" t="str">
        <f>IF(F163&gt;=50,"Pass","Fail")</f>
        <v>Pass</v>
      </c>
      <c r="H163" t="str" cm="1">
        <f t="array" ref="H163">_xlfn.IFS(F163&gt;=80,"Distinction",F163&gt;=60,"Pass",F163&lt;60,"Fail")</f>
        <v>Pass</v>
      </c>
      <c r="I163" t="str">
        <f>IF(OR(D163&lt;75,E163&lt;50),"Needs Intervention","Okay")</f>
        <v>Needs Intervention</v>
      </c>
    </row>
    <row r="164" spans="1:9" x14ac:dyDescent="0.35">
      <c r="A164" t="s">
        <v>286</v>
      </c>
      <c r="B164" t="s">
        <v>661</v>
      </c>
      <c r="C164" t="s">
        <v>783</v>
      </c>
      <c r="D164">
        <v>69</v>
      </c>
      <c r="E164">
        <v>76</v>
      </c>
      <c r="F164">
        <v>40</v>
      </c>
      <c r="G164" t="str">
        <f>IF(F164&gt;=50,"Pass","Fail")</f>
        <v>Fail</v>
      </c>
      <c r="H164" t="str" cm="1">
        <f t="array" ref="H164">_xlfn.IFS(F164&gt;=80,"Distinction",F164&gt;=60,"Pass",F164&lt;60,"Fail")</f>
        <v>Fail</v>
      </c>
      <c r="I164" t="str">
        <f>IF(OR(D164&lt;75,E164&lt;50),"Needs Intervention","Okay")</f>
        <v>Needs Intervention</v>
      </c>
    </row>
    <row r="165" spans="1:9" x14ac:dyDescent="0.35">
      <c r="A165" t="s">
        <v>288</v>
      </c>
      <c r="B165" t="s">
        <v>663</v>
      </c>
      <c r="C165" t="s">
        <v>782</v>
      </c>
      <c r="D165">
        <v>68</v>
      </c>
      <c r="E165">
        <v>65</v>
      </c>
      <c r="F165">
        <v>30</v>
      </c>
      <c r="G165" t="str">
        <f>IF(F165&gt;=50,"Pass","Fail")</f>
        <v>Fail</v>
      </c>
      <c r="H165" t="str" cm="1">
        <f t="array" ref="H165">_xlfn.IFS(F165&gt;=80,"Distinction",F165&gt;=60,"Pass",F165&lt;60,"Fail")</f>
        <v>Fail</v>
      </c>
      <c r="I165" t="str">
        <f>IF(OR(D165&lt;75,E165&lt;50),"Needs Intervention","Okay")</f>
        <v>Needs Intervention</v>
      </c>
    </row>
    <row r="166" spans="1:9" x14ac:dyDescent="0.35">
      <c r="A166" t="s">
        <v>289</v>
      </c>
      <c r="B166" t="s">
        <v>664</v>
      </c>
      <c r="C166" t="s">
        <v>782</v>
      </c>
      <c r="D166">
        <v>75</v>
      </c>
      <c r="E166">
        <v>48</v>
      </c>
      <c r="F166">
        <v>75</v>
      </c>
      <c r="G166" t="str">
        <f>IF(F166&gt;=50,"Pass","Fail")</f>
        <v>Pass</v>
      </c>
      <c r="H166" t="str" cm="1">
        <f t="array" ref="H166">_xlfn.IFS(F166&gt;=80,"Distinction",F166&gt;=60,"Pass",F166&lt;60,"Fail")</f>
        <v>Pass</v>
      </c>
      <c r="I166" t="str">
        <f>IF(OR(D166&lt;75,E166&lt;50),"Needs Intervention","Okay")</f>
        <v>Needs Intervention</v>
      </c>
    </row>
    <row r="167" spans="1:9" x14ac:dyDescent="0.35">
      <c r="A167" t="s">
        <v>290</v>
      </c>
      <c r="B167" t="s">
        <v>665</v>
      </c>
      <c r="C167" t="s">
        <v>783</v>
      </c>
      <c r="D167">
        <v>52</v>
      </c>
      <c r="E167">
        <v>49</v>
      </c>
      <c r="F167">
        <v>50</v>
      </c>
      <c r="G167" t="str">
        <f>IF(F167&gt;=50,"Pass","Fail")</f>
        <v>Pass</v>
      </c>
      <c r="H167" t="str" cm="1">
        <f t="array" ref="H167">_xlfn.IFS(F167&gt;=80,"Distinction",F167&gt;=60,"Pass",F167&lt;60,"Fail")</f>
        <v>Fail</v>
      </c>
      <c r="I167" t="str">
        <f>IF(OR(D167&lt;75,E167&lt;50),"Needs Intervention","Okay")</f>
        <v>Needs Intervention</v>
      </c>
    </row>
    <row r="168" spans="1:9" x14ac:dyDescent="0.35">
      <c r="A168" t="s">
        <v>291</v>
      </c>
      <c r="B168" t="s">
        <v>666</v>
      </c>
      <c r="C168" t="s">
        <v>783</v>
      </c>
      <c r="D168">
        <v>68</v>
      </c>
      <c r="E168">
        <v>86</v>
      </c>
      <c r="F168">
        <v>65</v>
      </c>
      <c r="G168" t="str">
        <f>IF(F168&gt;=50,"Pass","Fail")</f>
        <v>Pass</v>
      </c>
      <c r="H168" t="str" cm="1">
        <f t="array" ref="H168">_xlfn.IFS(F168&gt;=80,"Distinction",F168&gt;=60,"Pass",F168&lt;60,"Fail")</f>
        <v>Pass</v>
      </c>
      <c r="I168" t="str">
        <f>IF(OR(D168&lt;75,E168&lt;50),"Needs Intervention","Okay")</f>
        <v>Needs Intervention</v>
      </c>
    </row>
    <row r="169" spans="1:9" x14ac:dyDescent="0.35">
      <c r="A169" t="s">
        <v>292</v>
      </c>
      <c r="B169" t="s">
        <v>667</v>
      </c>
      <c r="C169" t="s">
        <v>783</v>
      </c>
      <c r="D169">
        <v>69</v>
      </c>
      <c r="E169">
        <v>47</v>
      </c>
      <c r="F169">
        <v>83</v>
      </c>
      <c r="G169" t="str">
        <f>IF(F169&gt;=50,"Pass","Fail")</f>
        <v>Pass</v>
      </c>
      <c r="H169" t="str" cm="1">
        <f t="array" ref="H169">_xlfn.IFS(F169&gt;=80,"Distinction",F169&gt;=60,"Pass",F169&lt;60,"Fail")</f>
        <v>Distinction</v>
      </c>
      <c r="I169" t="str">
        <f>IF(OR(D169&lt;75,E169&lt;50),"Needs Intervention","Okay")</f>
        <v>Needs Intervention</v>
      </c>
    </row>
    <row r="170" spans="1:9" x14ac:dyDescent="0.35">
      <c r="A170" t="s">
        <v>294</v>
      </c>
      <c r="B170" t="s">
        <v>669</v>
      </c>
      <c r="C170" t="s">
        <v>781</v>
      </c>
      <c r="D170">
        <v>56</v>
      </c>
      <c r="E170">
        <v>78</v>
      </c>
      <c r="F170">
        <v>30</v>
      </c>
      <c r="G170" t="str">
        <f>IF(F170&gt;=50,"Pass","Fail")</f>
        <v>Fail</v>
      </c>
      <c r="H170" t="str" cm="1">
        <f t="array" ref="H170">_xlfn.IFS(F170&gt;=80,"Distinction",F170&gt;=60,"Pass",F170&lt;60,"Fail")</f>
        <v>Fail</v>
      </c>
      <c r="I170" t="str">
        <f>IF(OR(D170&lt;75,E170&lt;50),"Needs Intervention","Okay")</f>
        <v>Needs Intervention</v>
      </c>
    </row>
    <row r="171" spans="1:9" x14ac:dyDescent="0.35">
      <c r="A171" t="s">
        <v>295</v>
      </c>
      <c r="B171" t="s">
        <v>670</v>
      </c>
      <c r="C171" t="s">
        <v>783</v>
      </c>
      <c r="D171">
        <v>90</v>
      </c>
      <c r="E171">
        <v>43</v>
      </c>
      <c r="F171">
        <v>92</v>
      </c>
      <c r="G171" t="str">
        <f>IF(F171&gt;=50,"Pass","Fail")</f>
        <v>Pass</v>
      </c>
      <c r="H171" t="str" cm="1">
        <f t="array" ref="H171">_xlfn.IFS(F171&gt;=80,"Distinction",F171&gt;=60,"Pass",F171&lt;60,"Fail")</f>
        <v>Distinction</v>
      </c>
      <c r="I171" t="str">
        <f>IF(OR(D171&lt;75,E171&lt;50),"Needs Intervention","Okay")</f>
        <v>Needs Intervention</v>
      </c>
    </row>
    <row r="172" spans="1:9" x14ac:dyDescent="0.35">
      <c r="A172" t="s">
        <v>296</v>
      </c>
      <c r="B172" t="s">
        <v>671</v>
      </c>
      <c r="C172" t="s">
        <v>780</v>
      </c>
      <c r="D172">
        <v>82</v>
      </c>
      <c r="E172">
        <v>44</v>
      </c>
      <c r="F172">
        <v>83</v>
      </c>
      <c r="G172" t="str">
        <f>IF(F172&gt;=50,"Pass","Fail")</f>
        <v>Pass</v>
      </c>
      <c r="H172" t="str" cm="1">
        <f t="array" ref="H172">_xlfn.IFS(F172&gt;=80,"Distinction",F172&gt;=60,"Pass",F172&lt;60,"Fail")</f>
        <v>Distinction</v>
      </c>
      <c r="I172" t="str">
        <f>IF(OR(D172&lt;75,E172&lt;50),"Needs Intervention","Okay")</f>
        <v>Needs Intervention</v>
      </c>
    </row>
    <row r="173" spans="1:9" x14ac:dyDescent="0.35">
      <c r="A173" t="s">
        <v>298</v>
      </c>
      <c r="B173" t="s">
        <v>673</v>
      </c>
      <c r="C173" t="s">
        <v>783</v>
      </c>
      <c r="D173">
        <v>88</v>
      </c>
      <c r="E173">
        <v>30</v>
      </c>
      <c r="F173">
        <v>69</v>
      </c>
      <c r="G173" t="str">
        <f>IF(F173&gt;=50,"Pass","Fail")</f>
        <v>Pass</v>
      </c>
      <c r="H173" t="str" cm="1">
        <f t="array" ref="H173">_xlfn.IFS(F173&gt;=80,"Distinction",F173&gt;=60,"Pass",F173&lt;60,"Fail")</f>
        <v>Pass</v>
      </c>
      <c r="I173" t="str">
        <f>IF(OR(D173&lt;75,E173&lt;50),"Needs Intervention","Okay")</f>
        <v>Needs Intervention</v>
      </c>
    </row>
    <row r="174" spans="1:9" x14ac:dyDescent="0.35">
      <c r="A174" t="s">
        <v>299</v>
      </c>
      <c r="B174" t="s">
        <v>674</v>
      </c>
      <c r="C174" t="s">
        <v>780</v>
      </c>
      <c r="D174">
        <v>67</v>
      </c>
      <c r="E174">
        <v>83</v>
      </c>
      <c r="F174">
        <v>44</v>
      </c>
      <c r="G174" t="str">
        <f>IF(F174&gt;=50,"Pass","Fail")</f>
        <v>Fail</v>
      </c>
      <c r="H174" t="str" cm="1">
        <f t="array" ref="H174">_xlfn.IFS(F174&gt;=80,"Distinction",F174&gt;=60,"Pass",F174&lt;60,"Fail")</f>
        <v>Fail</v>
      </c>
      <c r="I174" t="str">
        <f>IF(OR(D174&lt;75,E174&lt;50),"Needs Intervention","Okay")</f>
        <v>Needs Intervention</v>
      </c>
    </row>
    <row r="175" spans="1:9" x14ac:dyDescent="0.35">
      <c r="A175" t="s">
        <v>300</v>
      </c>
      <c r="B175" t="s">
        <v>675</v>
      </c>
      <c r="C175" t="s">
        <v>781</v>
      </c>
      <c r="D175">
        <v>89</v>
      </c>
      <c r="E175">
        <v>32</v>
      </c>
      <c r="F175">
        <v>50</v>
      </c>
      <c r="G175" t="str">
        <f>IF(F175&gt;=50,"Pass","Fail")</f>
        <v>Pass</v>
      </c>
      <c r="H175" t="str" cm="1">
        <f t="array" ref="H175">_xlfn.IFS(F175&gt;=80,"Distinction",F175&gt;=60,"Pass",F175&lt;60,"Fail")</f>
        <v>Fail</v>
      </c>
      <c r="I175" t="str">
        <f>IF(OR(D175&lt;75,E175&lt;50),"Needs Intervention","Okay")</f>
        <v>Needs Intervention</v>
      </c>
    </row>
    <row r="176" spans="1:9" x14ac:dyDescent="0.35">
      <c r="A176" t="s">
        <v>301</v>
      </c>
      <c r="B176" t="s">
        <v>676</v>
      </c>
      <c r="C176" t="s">
        <v>783</v>
      </c>
      <c r="D176">
        <v>50</v>
      </c>
      <c r="E176">
        <v>45</v>
      </c>
      <c r="F176">
        <v>76</v>
      </c>
      <c r="G176" t="str">
        <f>IF(F176&gt;=50,"Pass","Fail")</f>
        <v>Pass</v>
      </c>
      <c r="H176" t="str" cm="1">
        <f t="array" ref="H176">_xlfn.IFS(F176&gt;=80,"Distinction",F176&gt;=60,"Pass",F176&lt;60,"Fail")</f>
        <v>Pass</v>
      </c>
      <c r="I176" t="str">
        <f>IF(OR(D176&lt;75,E176&lt;50),"Needs Intervention","Okay")</f>
        <v>Needs Intervention</v>
      </c>
    </row>
    <row r="177" spans="1:9" x14ac:dyDescent="0.35">
      <c r="A177" t="s">
        <v>302</v>
      </c>
      <c r="B177" t="s">
        <v>677</v>
      </c>
      <c r="C177" t="s">
        <v>782</v>
      </c>
      <c r="D177">
        <v>60</v>
      </c>
      <c r="E177">
        <v>86</v>
      </c>
      <c r="F177">
        <v>82</v>
      </c>
      <c r="G177" t="str">
        <f>IF(F177&gt;=50,"Pass","Fail")</f>
        <v>Pass</v>
      </c>
      <c r="H177" t="str" cm="1">
        <f t="array" ref="H177">_xlfn.IFS(F177&gt;=80,"Distinction",F177&gt;=60,"Pass",F177&lt;60,"Fail")</f>
        <v>Distinction</v>
      </c>
      <c r="I177" t="str">
        <f>IF(OR(D177&lt;75,E177&lt;50),"Needs Intervention","Okay")</f>
        <v>Needs Intervention</v>
      </c>
    </row>
    <row r="178" spans="1:9" x14ac:dyDescent="0.35">
      <c r="A178" t="s">
        <v>303</v>
      </c>
      <c r="B178" t="s">
        <v>678</v>
      </c>
      <c r="C178" t="s">
        <v>780</v>
      </c>
      <c r="D178">
        <v>77</v>
      </c>
      <c r="E178">
        <v>41</v>
      </c>
      <c r="F178">
        <v>38</v>
      </c>
      <c r="G178" t="str">
        <f>IF(F178&gt;=50,"Pass","Fail")</f>
        <v>Fail</v>
      </c>
      <c r="H178" t="str" cm="1">
        <f t="array" ref="H178">_xlfn.IFS(F178&gt;=80,"Distinction",F178&gt;=60,"Pass",F178&lt;60,"Fail")</f>
        <v>Fail</v>
      </c>
      <c r="I178" t="str">
        <f>IF(OR(D178&lt;75,E178&lt;50),"Needs Intervention","Okay")</f>
        <v>Needs Intervention</v>
      </c>
    </row>
    <row r="179" spans="1:9" x14ac:dyDescent="0.35">
      <c r="A179" t="s">
        <v>304</v>
      </c>
      <c r="B179" t="s">
        <v>679</v>
      </c>
      <c r="C179" t="s">
        <v>783</v>
      </c>
      <c r="D179">
        <v>74</v>
      </c>
      <c r="E179">
        <v>45</v>
      </c>
      <c r="F179">
        <v>81</v>
      </c>
      <c r="G179" t="str">
        <f>IF(F179&gt;=50,"Pass","Fail")</f>
        <v>Pass</v>
      </c>
      <c r="H179" t="str" cm="1">
        <f t="array" ref="H179">_xlfn.IFS(F179&gt;=80,"Distinction",F179&gt;=60,"Pass",F179&lt;60,"Fail")</f>
        <v>Distinction</v>
      </c>
      <c r="I179" t="str">
        <f>IF(OR(D179&lt;75,E179&lt;50),"Needs Intervention","Okay")</f>
        <v>Needs Intervention</v>
      </c>
    </row>
    <row r="180" spans="1:9" x14ac:dyDescent="0.35">
      <c r="A180" t="s">
        <v>306</v>
      </c>
      <c r="B180" t="s">
        <v>681</v>
      </c>
      <c r="C180" t="s">
        <v>781</v>
      </c>
      <c r="D180">
        <v>72</v>
      </c>
      <c r="E180">
        <v>57</v>
      </c>
      <c r="F180">
        <v>55</v>
      </c>
      <c r="G180" t="str">
        <f>IF(F180&gt;=50,"Pass","Fail")</f>
        <v>Pass</v>
      </c>
      <c r="H180" t="str" cm="1">
        <f t="array" ref="H180">_xlfn.IFS(F180&gt;=80,"Distinction",F180&gt;=60,"Pass",F180&lt;60,"Fail")</f>
        <v>Fail</v>
      </c>
      <c r="I180" t="str">
        <f>IF(OR(D180&lt;75,E180&lt;50),"Needs Intervention","Okay")</f>
        <v>Needs Intervention</v>
      </c>
    </row>
    <row r="181" spans="1:9" x14ac:dyDescent="0.35">
      <c r="A181" t="s">
        <v>307</v>
      </c>
      <c r="B181" t="s">
        <v>682</v>
      </c>
      <c r="C181" t="s">
        <v>781</v>
      </c>
      <c r="D181">
        <v>80</v>
      </c>
      <c r="E181">
        <v>37</v>
      </c>
      <c r="F181">
        <v>70</v>
      </c>
      <c r="G181" t="str">
        <f>IF(F181&gt;=50,"Pass","Fail")</f>
        <v>Pass</v>
      </c>
      <c r="H181" t="str" cm="1">
        <f t="array" ref="H181">_xlfn.IFS(F181&gt;=80,"Distinction",F181&gt;=60,"Pass",F181&lt;60,"Fail")</f>
        <v>Pass</v>
      </c>
      <c r="I181" t="str">
        <f>IF(OR(D181&lt;75,E181&lt;50),"Needs Intervention","Okay")</f>
        <v>Needs Intervention</v>
      </c>
    </row>
    <row r="182" spans="1:9" x14ac:dyDescent="0.35">
      <c r="A182" t="s">
        <v>309</v>
      </c>
      <c r="B182" t="s">
        <v>684</v>
      </c>
      <c r="C182" t="s">
        <v>782</v>
      </c>
      <c r="D182">
        <v>91</v>
      </c>
      <c r="E182">
        <v>37</v>
      </c>
      <c r="F182">
        <v>92</v>
      </c>
      <c r="G182" t="str">
        <f>IF(F182&gt;=50,"Pass","Fail")</f>
        <v>Pass</v>
      </c>
      <c r="H182" t="str" cm="1">
        <f t="array" ref="H182">_xlfn.IFS(F182&gt;=80,"Distinction",F182&gt;=60,"Pass",F182&lt;60,"Fail")</f>
        <v>Distinction</v>
      </c>
      <c r="I182" t="str">
        <f>IF(OR(D182&lt;75,E182&lt;50),"Needs Intervention","Okay")</f>
        <v>Needs Intervention</v>
      </c>
    </row>
    <row r="183" spans="1:9" x14ac:dyDescent="0.35">
      <c r="A183" t="s">
        <v>311</v>
      </c>
      <c r="B183" t="s">
        <v>686</v>
      </c>
      <c r="C183" t="s">
        <v>780</v>
      </c>
      <c r="D183">
        <v>56</v>
      </c>
      <c r="E183">
        <v>89</v>
      </c>
      <c r="F183">
        <v>67</v>
      </c>
      <c r="G183" t="str">
        <f>IF(F183&gt;=50,"Pass","Fail")</f>
        <v>Pass</v>
      </c>
      <c r="H183" t="str" cm="1">
        <f t="array" ref="H183">_xlfn.IFS(F183&gt;=80,"Distinction",F183&gt;=60,"Pass",F183&lt;60,"Fail")</f>
        <v>Pass</v>
      </c>
      <c r="I183" t="str">
        <f>IF(OR(D183&lt;75,E183&lt;50),"Needs Intervention","Okay")</f>
        <v>Needs Intervention</v>
      </c>
    </row>
    <row r="184" spans="1:9" x14ac:dyDescent="0.35">
      <c r="A184" t="s">
        <v>312</v>
      </c>
      <c r="B184" t="s">
        <v>687</v>
      </c>
      <c r="C184" t="s">
        <v>782</v>
      </c>
      <c r="D184">
        <v>65</v>
      </c>
      <c r="E184">
        <v>79</v>
      </c>
      <c r="F184">
        <v>31</v>
      </c>
      <c r="G184" t="str">
        <f>IF(F184&gt;=50,"Pass","Fail")</f>
        <v>Fail</v>
      </c>
      <c r="H184" t="str" cm="1">
        <f t="array" ref="H184">_xlfn.IFS(F184&gt;=80,"Distinction",F184&gt;=60,"Pass",F184&lt;60,"Fail")</f>
        <v>Fail</v>
      </c>
      <c r="I184" t="str">
        <f>IF(OR(D184&lt;75,E184&lt;50),"Needs Intervention","Okay")</f>
        <v>Needs Intervention</v>
      </c>
    </row>
    <row r="185" spans="1:9" x14ac:dyDescent="0.35">
      <c r="A185" t="s">
        <v>316</v>
      </c>
      <c r="B185" t="s">
        <v>691</v>
      </c>
      <c r="C185" t="s">
        <v>783</v>
      </c>
      <c r="D185">
        <v>51</v>
      </c>
      <c r="E185">
        <v>56</v>
      </c>
      <c r="F185">
        <v>72</v>
      </c>
      <c r="G185" t="str">
        <f>IF(F185&gt;=50,"Pass","Fail")</f>
        <v>Pass</v>
      </c>
      <c r="H185" t="str" cm="1">
        <f t="array" ref="H185">_xlfn.IFS(F185&gt;=80,"Distinction",F185&gt;=60,"Pass",F185&lt;60,"Fail")</f>
        <v>Pass</v>
      </c>
      <c r="I185" t="str">
        <f>IF(OR(D185&lt;75,E185&lt;50),"Needs Intervention","Okay")</f>
        <v>Needs Intervention</v>
      </c>
    </row>
    <row r="186" spans="1:9" x14ac:dyDescent="0.35">
      <c r="A186" t="s">
        <v>317</v>
      </c>
      <c r="B186" t="s">
        <v>692</v>
      </c>
      <c r="C186" t="s">
        <v>783</v>
      </c>
      <c r="D186">
        <v>50</v>
      </c>
      <c r="E186">
        <v>92</v>
      </c>
      <c r="F186">
        <v>88</v>
      </c>
      <c r="G186" t="str">
        <f>IF(F186&gt;=50,"Pass","Fail")</f>
        <v>Pass</v>
      </c>
      <c r="H186" t="str" cm="1">
        <f t="array" ref="H186">_xlfn.IFS(F186&gt;=80,"Distinction",F186&gt;=60,"Pass",F186&lt;60,"Fail")</f>
        <v>Distinction</v>
      </c>
      <c r="I186" t="str">
        <f>IF(OR(D186&lt;75,E186&lt;50),"Needs Intervention","Okay")</f>
        <v>Needs Intervention</v>
      </c>
    </row>
    <row r="187" spans="1:9" x14ac:dyDescent="0.35">
      <c r="A187" t="s">
        <v>318</v>
      </c>
      <c r="B187" t="s">
        <v>693</v>
      </c>
      <c r="C187" t="s">
        <v>781</v>
      </c>
      <c r="D187">
        <v>97</v>
      </c>
      <c r="E187">
        <v>46</v>
      </c>
      <c r="F187">
        <v>80</v>
      </c>
      <c r="G187" t="str">
        <f>IF(F187&gt;=50,"Pass","Fail")</f>
        <v>Pass</v>
      </c>
      <c r="H187" t="str" cm="1">
        <f t="array" ref="H187">_xlfn.IFS(F187&gt;=80,"Distinction",F187&gt;=60,"Pass",F187&lt;60,"Fail")</f>
        <v>Distinction</v>
      </c>
      <c r="I187" t="str">
        <f>IF(OR(D187&lt;75,E187&lt;50),"Needs Intervention","Okay")</f>
        <v>Needs Intervention</v>
      </c>
    </row>
    <row r="188" spans="1:9" x14ac:dyDescent="0.35">
      <c r="A188" t="s">
        <v>319</v>
      </c>
      <c r="B188" t="s">
        <v>694</v>
      </c>
      <c r="C188" t="s">
        <v>784</v>
      </c>
      <c r="D188">
        <v>61</v>
      </c>
      <c r="E188">
        <v>62</v>
      </c>
      <c r="F188">
        <v>83</v>
      </c>
      <c r="G188" t="str">
        <f>IF(F188&gt;=50,"Pass","Fail")</f>
        <v>Pass</v>
      </c>
      <c r="H188" t="str" cm="1">
        <f t="array" ref="H188">_xlfn.IFS(F188&gt;=80,"Distinction",F188&gt;=60,"Pass",F188&lt;60,"Fail")</f>
        <v>Distinction</v>
      </c>
      <c r="I188" t="str">
        <f>IF(OR(D188&lt;75,E188&lt;50),"Needs Intervention","Okay")</f>
        <v>Needs Intervention</v>
      </c>
    </row>
    <row r="189" spans="1:9" x14ac:dyDescent="0.35">
      <c r="A189" t="s">
        <v>320</v>
      </c>
      <c r="B189" t="s">
        <v>695</v>
      </c>
      <c r="C189" t="s">
        <v>782</v>
      </c>
      <c r="D189">
        <v>54</v>
      </c>
      <c r="E189">
        <v>58</v>
      </c>
      <c r="F189">
        <v>53</v>
      </c>
      <c r="G189" t="str">
        <f>IF(F189&gt;=50,"Pass","Fail")</f>
        <v>Pass</v>
      </c>
      <c r="H189" t="str" cm="1">
        <f t="array" ref="H189">_xlfn.IFS(F189&gt;=80,"Distinction",F189&gt;=60,"Pass",F189&lt;60,"Fail")</f>
        <v>Fail</v>
      </c>
      <c r="I189" t="str">
        <f>IF(OR(D189&lt;75,E189&lt;50),"Needs Intervention","Okay")</f>
        <v>Needs Intervention</v>
      </c>
    </row>
    <row r="190" spans="1:9" x14ac:dyDescent="0.35">
      <c r="A190" t="s">
        <v>321</v>
      </c>
      <c r="B190" t="s">
        <v>696</v>
      </c>
      <c r="C190" t="s">
        <v>781</v>
      </c>
      <c r="D190">
        <v>86</v>
      </c>
      <c r="E190">
        <v>42</v>
      </c>
      <c r="F190">
        <v>54</v>
      </c>
      <c r="G190" t="str">
        <f>IF(F190&gt;=50,"Pass","Fail")</f>
        <v>Pass</v>
      </c>
      <c r="H190" t="str" cm="1">
        <f t="array" ref="H190">_xlfn.IFS(F190&gt;=80,"Distinction",F190&gt;=60,"Pass",F190&lt;60,"Fail")</f>
        <v>Fail</v>
      </c>
      <c r="I190" t="str">
        <f>IF(OR(D190&lt;75,E190&lt;50),"Needs Intervention","Okay")</f>
        <v>Needs Intervention</v>
      </c>
    </row>
    <row r="191" spans="1:9" x14ac:dyDescent="0.35">
      <c r="A191" t="s">
        <v>323</v>
      </c>
      <c r="B191" t="s">
        <v>698</v>
      </c>
      <c r="C191" t="s">
        <v>780</v>
      </c>
      <c r="D191">
        <v>58</v>
      </c>
      <c r="E191">
        <v>64</v>
      </c>
      <c r="F191">
        <v>81</v>
      </c>
      <c r="G191" t="str">
        <f>IF(F191&gt;=50,"Pass","Fail")</f>
        <v>Pass</v>
      </c>
      <c r="H191" t="str" cm="1">
        <f t="array" ref="H191">_xlfn.IFS(F191&gt;=80,"Distinction",F191&gt;=60,"Pass",F191&lt;60,"Fail")</f>
        <v>Distinction</v>
      </c>
      <c r="I191" t="str">
        <f>IF(OR(D191&lt;75,E191&lt;50),"Needs Intervention","Okay")</f>
        <v>Needs Intervention</v>
      </c>
    </row>
    <row r="192" spans="1:9" x14ac:dyDescent="0.35">
      <c r="A192" t="s">
        <v>324</v>
      </c>
      <c r="B192" t="s">
        <v>699</v>
      </c>
      <c r="C192" t="s">
        <v>782</v>
      </c>
      <c r="D192">
        <v>90</v>
      </c>
      <c r="E192">
        <v>35</v>
      </c>
      <c r="F192">
        <v>99</v>
      </c>
      <c r="G192" t="str">
        <f>IF(F192&gt;=50,"Pass","Fail")</f>
        <v>Pass</v>
      </c>
      <c r="H192" t="str" cm="1">
        <f t="array" ref="H192">_xlfn.IFS(F192&gt;=80,"Distinction",F192&gt;=60,"Pass",F192&lt;60,"Fail")</f>
        <v>Distinction</v>
      </c>
      <c r="I192" t="str">
        <f>IF(OR(D192&lt;75,E192&lt;50),"Needs Intervention","Okay")</f>
        <v>Needs Intervention</v>
      </c>
    </row>
    <row r="193" spans="1:9" x14ac:dyDescent="0.35">
      <c r="A193" t="s">
        <v>326</v>
      </c>
      <c r="B193" t="s">
        <v>701</v>
      </c>
      <c r="C193" t="s">
        <v>784</v>
      </c>
      <c r="D193">
        <v>68</v>
      </c>
      <c r="E193">
        <v>76</v>
      </c>
      <c r="F193">
        <v>78</v>
      </c>
      <c r="G193" t="str">
        <f>IF(F193&gt;=50,"Pass","Fail")</f>
        <v>Pass</v>
      </c>
      <c r="H193" t="str" cm="1">
        <f t="array" ref="H193">_xlfn.IFS(F193&gt;=80,"Distinction",F193&gt;=60,"Pass",F193&lt;60,"Fail")</f>
        <v>Pass</v>
      </c>
      <c r="I193" t="str">
        <f>IF(OR(D193&lt;75,E193&lt;50),"Needs Intervention","Okay")</f>
        <v>Needs Intervention</v>
      </c>
    </row>
    <row r="194" spans="1:9" x14ac:dyDescent="0.35">
      <c r="A194" t="s">
        <v>328</v>
      </c>
      <c r="B194" t="s">
        <v>703</v>
      </c>
      <c r="C194" t="s">
        <v>781</v>
      </c>
      <c r="D194">
        <v>65</v>
      </c>
      <c r="E194">
        <v>95</v>
      </c>
      <c r="F194">
        <v>92</v>
      </c>
      <c r="G194" t="str">
        <f>IF(F194&gt;=50,"Pass","Fail")</f>
        <v>Pass</v>
      </c>
      <c r="H194" t="str" cm="1">
        <f t="array" ref="H194">_xlfn.IFS(F194&gt;=80,"Distinction",F194&gt;=60,"Pass",F194&lt;60,"Fail")</f>
        <v>Distinction</v>
      </c>
      <c r="I194" t="str">
        <f>IF(OR(D194&lt;75,E194&lt;50),"Needs Intervention","Okay")</f>
        <v>Needs Intervention</v>
      </c>
    </row>
    <row r="195" spans="1:9" x14ac:dyDescent="0.35">
      <c r="A195" t="s">
        <v>329</v>
      </c>
      <c r="B195" t="s">
        <v>704</v>
      </c>
      <c r="C195" t="s">
        <v>781</v>
      </c>
      <c r="D195">
        <v>52</v>
      </c>
      <c r="E195">
        <v>39</v>
      </c>
      <c r="F195">
        <v>51</v>
      </c>
      <c r="G195" t="str">
        <f>IF(F195&gt;=50,"Pass","Fail")</f>
        <v>Pass</v>
      </c>
      <c r="H195" t="str" cm="1">
        <f t="array" ref="H195">_xlfn.IFS(F195&gt;=80,"Distinction",F195&gt;=60,"Pass",F195&lt;60,"Fail")</f>
        <v>Fail</v>
      </c>
      <c r="I195" t="str">
        <f>IF(OR(D195&lt;75,E195&lt;50),"Needs Intervention","Okay")</f>
        <v>Needs Intervention</v>
      </c>
    </row>
    <row r="196" spans="1:9" x14ac:dyDescent="0.35">
      <c r="A196" t="s">
        <v>330</v>
      </c>
      <c r="B196" t="s">
        <v>705</v>
      </c>
      <c r="C196" t="s">
        <v>783</v>
      </c>
      <c r="D196">
        <v>69</v>
      </c>
      <c r="E196">
        <v>85</v>
      </c>
      <c r="F196">
        <v>55</v>
      </c>
      <c r="G196" t="str">
        <f>IF(F196&gt;=50,"Pass","Fail")</f>
        <v>Pass</v>
      </c>
      <c r="H196" t="str" cm="1">
        <f t="array" ref="H196">_xlfn.IFS(F196&gt;=80,"Distinction",F196&gt;=60,"Pass",F196&lt;60,"Fail")</f>
        <v>Fail</v>
      </c>
      <c r="I196" t="str">
        <f>IF(OR(D196&lt;75,E196&lt;50),"Needs Intervention","Okay")</f>
        <v>Needs Intervention</v>
      </c>
    </row>
    <row r="197" spans="1:9" x14ac:dyDescent="0.35">
      <c r="A197" t="s">
        <v>331</v>
      </c>
      <c r="B197" t="s">
        <v>706</v>
      </c>
      <c r="C197" t="s">
        <v>783</v>
      </c>
      <c r="D197">
        <v>73</v>
      </c>
      <c r="E197">
        <v>59</v>
      </c>
      <c r="F197">
        <v>57</v>
      </c>
      <c r="G197" t="str">
        <f>IF(F197&gt;=50,"Pass","Fail")</f>
        <v>Pass</v>
      </c>
      <c r="H197" t="str" cm="1">
        <f t="array" ref="H197">_xlfn.IFS(F197&gt;=80,"Distinction",F197&gt;=60,"Pass",F197&lt;60,"Fail")</f>
        <v>Fail</v>
      </c>
      <c r="I197" t="str">
        <f>IF(OR(D197&lt;75,E197&lt;50),"Needs Intervention","Okay")</f>
        <v>Needs Intervention</v>
      </c>
    </row>
    <row r="198" spans="1:9" x14ac:dyDescent="0.35">
      <c r="A198" t="s">
        <v>332</v>
      </c>
      <c r="B198" t="s">
        <v>707</v>
      </c>
      <c r="C198" t="s">
        <v>784</v>
      </c>
      <c r="D198">
        <v>82</v>
      </c>
      <c r="E198">
        <v>34</v>
      </c>
      <c r="F198">
        <v>78</v>
      </c>
      <c r="G198" t="str">
        <f>IF(F198&gt;=50,"Pass","Fail")</f>
        <v>Pass</v>
      </c>
      <c r="H198" t="str" cm="1">
        <f t="array" ref="H198">_xlfn.IFS(F198&gt;=80,"Distinction",F198&gt;=60,"Pass",F198&lt;60,"Fail")</f>
        <v>Pass</v>
      </c>
      <c r="I198" t="str">
        <f>IF(OR(D198&lt;75,E198&lt;50),"Needs Intervention","Okay")</f>
        <v>Needs Intervention</v>
      </c>
    </row>
    <row r="199" spans="1:9" x14ac:dyDescent="0.35">
      <c r="A199" t="s">
        <v>333</v>
      </c>
      <c r="B199" t="s">
        <v>708</v>
      </c>
      <c r="C199" t="s">
        <v>783</v>
      </c>
      <c r="D199">
        <v>73</v>
      </c>
      <c r="E199">
        <v>62</v>
      </c>
      <c r="F199">
        <v>100</v>
      </c>
      <c r="G199" t="str">
        <f>IF(F199&gt;=50,"Pass","Fail")</f>
        <v>Pass</v>
      </c>
      <c r="H199" t="str" cm="1">
        <f t="array" ref="H199">_xlfn.IFS(F199&gt;=80,"Distinction",F199&gt;=60,"Pass",F199&lt;60,"Fail")</f>
        <v>Distinction</v>
      </c>
      <c r="I199" t="str">
        <f>IF(OR(D199&lt;75,E199&lt;50),"Needs Intervention","Okay")</f>
        <v>Needs Intervention</v>
      </c>
    </row>
    <row r="200" spans="1:9" x14ac:dyDescent="0.35">
      <c r="A200" t="s">
        <v>334</v>
      </c>
      <c r="B200" t="s">
        <v>709</v>
      </c>
      <c r="C200" t="s">
        <v>784</v>
      </c>
      <c r="D200">
        <v>60</v>
      </c>
      <c r="E200">
        <v>94</v>
      </c>
      <c r="F200">
        <v>78</v>
      </c>
      <c r="G200" t="str">
        <f>IF(F200&gt;=50,"Pass","Fail")</f>
        <v>Pass</v>
      </c>
      <c r="H200" t="str" cm="1">
        <f t="array" ref="H200">_xlfn.IFS(F200&gt;=80,"Distinction",F200&gt;=60,"Pass",F200&lt;60,"Fail")</f>
        <v>Pass</v>
      </c>
      <c r="I200" t="str">
        <f>IF(OR(D200&lt;75,E200&lt;50),"Needs Intervention","Okay")</f>
        <v>Needs Intervention</v>
      </c>
    </row>
    <row r="201" spans="1:9" x14ac:dyDescent="0.35">
      <c r="A201" t="s">
        <v>335</v>
      </c>
      <c r="B201" t="s">
        <v>710</v>
      </c>
      <c r="C201" t="s">
        <v>781</v>
      </c>
      <c r="D201">
        <v>98</v>
      </c>
      <c r="E201">
        <v>47</v>
      </c>
      <c r="F201">
        <v>49</v>
      </c>
      <c r="G201" t="str">
        <f>IF(F201&gt;=50,"Pass","Fail")</f>
        <v>Fail</v>
      </c>
      <c r="H201" t="str" cm="1">
        <f t="array" ref="H201">_xlfn.IFS(F201&gt;=80,"Distinction",F201&gt;=60,"Pass",F201&lt;60,"Fail")</f>
        <v>Fail</v>
      </c>
      <c r="I201" t="str">
        <f>IF(OR(D201&lt;75,E201&lt;50),"Needs Intervention","Okay")</f>
        <v>Needs Intervention</v>
      </c>
    </row>
    <row r="202" spans="1:9" x14ac:dyDescent="0.35">
      <c r="A202" t="s">
        <v>336</v>
      </c>
      <c r="B202" t="s">
        <v>711</v>
      </c>
      <c r="C202" t="s">
        <v>781</v>
      </c>
      <c r="D202">
        <v>57</v>
      </c>
      <c r="E202">
        <v>78</v>
      </c>
      <c r="F202">
        <v>92</v>
      </c>
      <c r="G202" t="str">
        <f>IF(F202&gt;=50,"Pass","Fail")</f>
        <v>Pass</v>
      </c>
      <c r="H202" t="str" cm="1">
        <f t="array" ref="H202">_xlfn.IFS(F202&gt;=80,"Distinction",F202&gt;=60,"Pass",F202&lt;60,"Fail")</f>
        <v>Distinction</v>
      </c>
      <c r="I202" t="str">
        <f>IF(OR(D202&lt;75,E202&lt;50),"Needs Intervention","Okay")</f>
        <v>Needs Intervention</v>
      </c>
    </row>
    <row r="203" spans="1:9" x14ac:dyDescent="0.35">
      <c r="A203" t="s">
        <v>337</v>
      </c>
      <c r="B203" t="s">
        <v>712</v>
      </c>
      <c r="C203" t="s">
        <v>782</v>
      </c>
      <c r="D203">
        <v>85</v>
      </c>
      <c r="E203">
        <v>40</v>
      </c>
      <c r="F203">
        <v>90</v>
      </c>
      <c r="G203" t="str">
        <f>IF(F203&gt;=50,"Pass","Fail")</f>
        <v>Pass</v>
      </c>
      <c r="H203" t="str" cm="1">
        <f t="array" ref="H203">_xlfn.IFS(F203&gt;=80,"Distinction",F203&gt;=60,"Pass",F203&lt;60,"Fail")</f>
        <v>Distinction</v>
      </c>
      <c r="I203" t="str">
        <f>IF(OR(D203&lt;75,E203&lt;50),"Needs Intervention","Okay")</f>
        <v>Needs Intervention</v>
      </c>
    </row>
    <row r="204" spans="1:9" x14ac:dyDescent="0.35">
      <c r="A204" t="s">
        <v>340</v>
      </c>
      <c r="B204" t="s">
        <v>715</v>
      </c>
      <c r="C204" t="s">
        <v>783</v>
      </c>
      <c r="D204">
        <v>69</v>
      </c>
      <c r="E204">
        <v>88</v>
      </c>
      <c r="F204">
        <v>30</v>
      </c>
      <c r="G204" t="str">
        <f>IF(F204&gt;=50,"Pass","Fail")</f>
        <v>Fail</v>
      </c>
      <c r="H204" t="str" cm="1">
        <f t="array" ref="H204">_xlfn.IFS(F204&gt;=80,"Distinction",F204&gt;=60,"Pass",F204&lt;60,"Fail")</f>
        <v>Fail</v>
      </c>
      <c r="I204" t="str">
        <f>IF(OR(D204&lt;75,E204&lt;50),"Needs Intervention","Okay")</f>
        <v>Needs Intervention</v>
      </c>
    </row>
    <row r="205" spans="1:9" x14ac:dyDescent="0.35">
      <c r="A205" t="s">
        <v>343</v>
      </c>
      <c r="B205" t="s">
        <v>718</v>
      </c>
      <c r="C205" t="s">
        <v>782</v>
      </c>
      <c r="D205">
        <v>74</v>
      </c>
      <c r="E205">
        <v>62</v>
      </c>
      <c r="F205">
        <v>85</v>
      </c>
      <c r="G205" t="str">
        <f>IF(F205&gt;=50,"Pass","Fail")</f>
        <v>Pass</v>
      </c>
      <c r="H205" t="str" cm="1">
        <f t="array" ref="H205">_xlfn.IFS(F205&gt;=80,"Distinction",F205&gt;=60,"Pass",F205&lt;60,"Fail")</f>
        <v>Distinction</v>
      </c>
      <c r="I205" t="str">
        <f>IF(OR(D205&lt;75,E205&lt;50),"Needs Intervention","Okay")</f>
        <v>Needs Intervention</v>
      </c>
    </row>
    <row r="206" spans="1:9" x14ac:dyDescent="0.35">
      <c r="A206" t="s">
        <v>344</v>
      </c>
      <c r="B206" t="s">
        <v>719</v>
      </c>
      <c r="C206" t="s">
        <v>781</v>
      </c>
      <c r="D206">
        <v>84</v>
      </c>
      <c r="E206">
        <v>30</v>
      </c>
      <c r="F206">
        <v>91</v>
      </c>
      <c r="G206" t="str">
        <f>IF(F206&gt;=50,"Pass","Fail")</f>
        <v>Pass</v>
      </c>
      <c r="H206" t="str" cm="1">
        <f t="array" ref="H206">_xlfn.IFS(F206&gt;=80,"Distinction",F206&gt;=60,"Pass",F206&lt;60,"Fail")</f>
        <v>Distinction</v>
      </c>
      <c r="I206" t="str">
        <f>IF(OR(D206&lt;75,E206&lt;50),"Needs Intervention","Okay")</f>
        <v>Needs Intervention</v>
      </c>
    </row>
    <row r="207" spans="1:9" x14ac:dyDescent="0.35">
      <c r="A207" t="s">
        <v>345</v>
      </c>
      <c r="B207" t="s">
        <v>720</v>
      </c>
      <c r="C207" t="s">
        <v>780</v>
      </c>
      <c r="D207">
        <v>74</v>
      </c>
      <c r="E207">
        <v>50</v>
      </c>
      <c r="F207">
        <v>61</v>
      </c>
      <c r="G207" t="str">
        <f>IF(F207&gt;=50,"Pass","Fail")</f>
        <v>Pass</v>
      </c>
      <c r="H207" t="str" cm="1">
        <f t="array" ref="H207">_xlfn.IFS(F207&gt;=80,"Distinction",F207&gt;=60,"Pass",F207&lt;60,"Fail")</f>
        <v>Pass</v>
      </c>
      <c r="I207" t="str">
        <f>IF(OR(D207&lt;75,E207&lt;50),"Needs Intervention","Okay")</f>
        <v>Needs Intervention</v>
      </c>
    </row>
    <row r="208" spans="1:9" x14ac:dyDescent="0.35">
      <c r="A208" t="s">
        <v>347</v>
      </c>
      <c r="B208" t="s">
        <v>722</v>
      </c>
      <c r="C208" t="s">
        <v>784</v>
      </c>
      <c r="D208">
        <v>67</v>
      </c>
      <c r="E208">
        <v>35</v>
      </c>
      <c r="F208">
        <v>58</v>
      </c>
      <c r="G208" t="str">
        <f>IF(F208&gt;=50,"Pass","Fail")</f>
        <v>Pass</v>
      </c>
      <c r="H208" t="str" cm="1">
        <f t="array" ref="H208">_xlfn.IFS(F208&gt;=80,"Distinction",F208&gt;=60,"Pass",F208&lt;60,"Fail")</f>
        <v>Fail</v>
      </c>
      <c r="I208" t="str">
        <f>IF(OR(D208&lt;75,E208&lt;50),"Needs Intervention","Okay")</f>
        <v>Needs Intervention</v>
      </c>
    </row>
    <row r="209" spans="1:9" x14ac:dyDescent="0.35">
      <c r="A209" t="s">
        <v>349</v>
      </c>
      <c r="B209" t="s">
        <v>724</v>
      </c>
      <c r="C209" t="s">
        <v>781</v>
      </c>
      <c r="D209">
        <v>67</v>
      </c>
      <c r="E209">
        <v>34</v>
      </c>
      <c r="F209">
        <v>74</v>
      </c>
      <c r="G209" t="str">
        <f>IF(F209&gt;=50,"Pass","Fail")</f>
        <v>Pass</v>
      </c>
      <c r="H209" t="str" cm="1">
        <f t="array" ref="H209">_xlfn.IFS(F209&gt;=80,"Distinction",F209&gt;=60,"Pass",F209&lt;60,"Fail")</f>
        <v>Pass</v>
      </c>
      <c r="I209" t="str">
        <f>IF(OR(D209&lt;75,E209&lt;50),"Needs Intervention","Okay")</f>
        <v>Needs Intervention</v>
      </c>
    </row>
    <row r="210" spans="1:9" x14ac:dyDescent="0.35">
      <c r="A210" t="s">
        <v>350</v>
      </c>
      <c r="B210" t="s">
        <v>725</v>
      </c>
      <c r="C210" t="s">
        <v>783</v>
      </c>
      <c r="D210">
        <v>51</v>
      </c>
      <c r="E210">
        <v>32</v>
      </c>
      <c r="F210">
        <v>59</v>
      </c>
      <c r="G210" t="str">
        <f>IF(F210&gt;=50,"Pass","Fail")</f>
        <v>Pass</v>
      </c>
      <c r="H210" t="str" cm="1">
        <f t="array" ref="H210">_xlfn.IFS(F210&gt;=80,"Distinction",F210&gt;=60,"Pass",F210&lt;60,"Fail")</f>
        <v>Fail</v>
      </c>
      <c r="I210" t="str">
        <f>IF(OR(D210&lt;75,E210&lt;50),"Needs Intervention","Okay")</f>
        <v>Needs Intervention</v>
      </c>
    </row>
    <row r="211" spans="1:9" x14ac:dyDescent="0.35">
      <c r="A211" t="s">
        <v>352</v>
      </c>
      <c r="B211" t="s">
        <v>727</v>
      </c>
      <c r="C211" t="s">
        <v>783</v>
      </c>
      <c r="D211">
        <v>65</v>
      </c>
      <c r="E211">
        <v>52</v>
      </c>
      <c r="F211">
        <v>69</v>
      </c>
      <c r="G211" t="str">
        <f>IF(F211&gt;=50,"Pass","Fail")</f>
        <v>Pass</v>
      </c>
      <c r="H211" t="str" cm="1">
        <f t="array" ref="H211">_xlfn.IFS(F211&gt;=80,"Distinction",F211&gt;=60,"Pass",F211&lt;60,"Fail")</f>
        <v>Pass</v>
      </c>
      <c r="I211" t="str">
        <f>IF(OR(D211&lt;75,E211&lt;50),"Needs Intervention","Okay")</f>
        <v>Needs Intervention</v>
      </c>
    </row>
    <row r="212" spans="1:9" x14ac:dyDescent="0.35">
      <c r="A212" t="s">
        <v>355</v>
      </c>
      <c r="B212" t="s">
        <v>730</v>
      </c>
      <c r="C212" t="s">
        <v>781</v>
      </c>
      <c r="D212">
        <v>82</v>
      </c>
      <c r="E212">
        <v>46</v>
      </c>
      <c r="F212">
        <v>30</v>
      </c>
      <c r="G212" t="str">
        <f>IF(F212&gt;=50,"Pass","Fail")</f>
        <v>Fail</v>
      </c>
      <c r="H212" t="str" cm="1">
        <f t="array" ref="H212">_xlfn.IFS(F212&gt;=80,"Distinction",F212&gt;=60,"Pass",F212&lt;60,"Fail")</f>
        <v>Fail</v>
      </c>
      <c r="I212" t="str">
        <f>IF(OR(D212&lt;75,E212&lt;50),"Needs Intervention","Okay")</f>
        <v>Needs Intervention</v>
      </c>
    </row>
    <row r="213" spans="1:9" x14ac:dyDescent="0.35">
      <c r="A213" t="s">
        <v>356</v>
      </c>
      <c r="B213" t="s">
        <v>731</v>
      </c>
      <c r="C213" t="s">
        <v>780</v>
      </c>
      <c r="D213">
        <v>53</v>
      </c>
      <c r="E213">
        <v>30</v>
      </c>
      <c r="F213">
        <v>76</v>
      </c>
      <c r="G213" t="str">
        <f>IF(F213&gt;=50,"Pass","Fail")</f>
        <v>Pass</v>
      </c>
      <c r="H213" t="str" cm="1">
        <f t="array" ref="H213">_xlfn.IFS(F213&gt;=80,"Distinction",F213&gt;=60,"Pass",F213&lt;60,"Fail")</f>
        <v>Pass</v>
      </c>
      <c r="I213" t="str">
        <f>IF(OR(D213&lt;75,E213&lt;50),"Needs Intervention","Okay")</f>
        <v>Needs Intervention</v>
      </c>
    </row>
    <row r="214" spans="1:9" x14ac:dyDescent="0.35">
      <c r="A214" t="s">
        <v>358</v>
      </c>
      <c r="B214" t="s">
        <v>733</v>
      </c>
      <c r="C214" t="s">
        <v>783</v>
      </c>
      <c r="D214">
        <v>63</v>
      </c>
      <c r="E214">
        <v>74</v>
      </c>
      <c r="F214">
        <v>67</v>
      </c>
      <c r="G214" t="str">
        <f>IF(F214&gt;=50,"Pass","Fail")</f>
        <v>Pass</v>
      </c>
      <c r="H214" t="str" cm="1">
        <f t="array" ref="H214">_xlfn.IFS(F214&gt;=80,"Distinction",F214&gt;=60,"Pass",F214&lt;60,"Fail")</f>
        <v>Pass</v>
      </c>
      <c r="I214" t="str">
        <f>IF(OR(D214&lt;75,E214&lt;50),"Needs Intervention","Okay")</f>
        <v>Needs Intervention</v>
      </c>
    </row>
    <row r="215" spans="1:9" x14ac:dyDescent="0.35">
      <c r="A215" t="s">
        <v>359</v>
      </c>
      <c r="B215" t="s">
        <v>569</v>
      </c>
      <c r="C215" t="s">
        <v>783</v>
      </c>
      <c r="D215">
        <v>70</v>
      </c>
      <c r="E215">
        <v>33</v>
      </c>
      <c r="F215">
        <v>80</v>
      </c>
      <c r="G215" t="str">
        <f>IF(F215&gt;=50,"Pass","Fail")</f>
        <v>Pass</v>
      </c>
      <c r="H215" t="str" cm="1">
        <f t="array" ref="H215">_xlfn.IFS(F215&gt;=80,"Distinction",F215&gt;=60,"Pass",F215&lt;60,"Fail")</f>
        <v>Distinction</v>
      </c>
      <c r="I215" t="str">
        <f>IF(OR(D215&lt;75,E215&lt;50),"Needs Intervention","Okay")</f>
        <v>Needs Intervention</v>
      </c>
    </row>
    <row r="216" spans="1:9" x14ac:dyDescent="0.35">
      <c r="A216" t="s">
        <v>361</v>
      </c>
      <c r="B216" t="s">
        <v>735</v>
      </c>
      <c r="C216" t="s">
        <v>783</v>
      </c>
      <c r="D216">
        <v>69</v>
      </c>
      <c r="E216">
        <v>94</v>
      </c>
      <c r="F216">
        <v>33</v>
      </c>
      <c r="G216" t="str">
        <f>IF(F216&gt;=50,"Pass","Fail")</f>
        <v>Fail</v>
      </c>
      <c r="H216" t="str" cm="1">
        <f t="array" ref="H216">_xlfn.IFS(F216&gt;=80,"Distinction",F216&gt;=60,"Pass",F216&lt;60,"Fail")</f>
        <v>Fail</v>
      </c>
      <c r="I216" t="str">
        <f>IF(OR(D216&lt;75,E216&lt;50),"Needs Intervention","Okay")</f>
        <v>Needs Intervention</v>
      </c>
    </row>
    <row r="217" spans="1:9" x14ac:dyDescent="0.35">
      <c r="A217" t="s">
        <v>362</v>
      </c>
      <c r="B217" t="s">
        <v>736</v>
      </c>
      <c r="C217" t="s">
        <v>782</v>
      </c>
      <c r="D217">
        <v>57</v>
      </c>
      <c r="E217">
        <v>61</v>
      </c>
      <c r="F217">
        <v>30</v>
      </c>
      <c r="G217" t="str">
        <f>IF(F217&gt;=50,"Pass","Fail")</f>
        <v>Fail</v>
      </c>
      <c r="H217" t="str" cm="1">
        <f t="array" ref="H217">_xlfn.IFS(F217&gt;=80,"Distinction",F217&gt;=60,"Pass",F217&lt;60,"Fail")</f>
        <v>Fail</v>
      </c>
      <c r="I217" t="str">
        <f>IF(OR(D217&lt;75,E217&lt;50),"Needs Intervention","Okay")</f>
        <v>Needs Intervention</v>
      </c>
    </row>
    <row r="218" spans="1:9" x14ac:dyDescent="0.35">
      <c r="A218" t="s">
        <v>363</v>
      </c>
      <c r="B218" t="s">
        <v>737</v>
      </c>
      <c r="C218" t="s">
        <v>780</v>
      </c>
      <c r="D218">
        <v>56</v>
      </c>
      <c r="E218">
        <v>63</v>
      </c>
      <c r="F218">
        <v>37</v>
      </c>
      <c r="G218" t="str">
        <f>IF(F218&gt;=50,"Pass","Fail")</f>
        <v>Fail</v>
      </c>
      <c r="H218" t="str" cm="1">
        <f t="array" ref="H218">_xlfn.IFS(F218&gt;=80,"Distinction",F218&gt;=60,"Pass",F218&lt;60,"Fail")</f>
        <v>Fail</v>
      </c>
      <c r="I218" t="str">
        <f>IF(OR(D218&lt;75,E218&lt;50),"Needs Intervention","Okay")</f>
        <v>Needs Intervention</v>
      </c>
    </row>
    <row r="219" spans="1:9" x14ac:dyDescent="0.35">
      <c r="A219" t="s">
        <v>364</v>
      </c>
      <c r="B219" t="s">
        <v>738</v>
      </c>
      <c r="C219" t="s">
        <v>781</v>
      </c>
      <c r="D219">
        <v>52</v>
      </c>
      <c r="E219">
        <v>68</v>
      </c>
      <c r="F219">
        <v>58</v>
      </c>
      <c r="G219" t="str">
        <f>IF(F219&gt;=50,"Pass","Fail")</f>
        <v>Pass</v>
      </c>
      <c r="H219" t="str" cm="1">
        <f t="array" ref="H219">_xlfn.IFS(F219&gt;=80,"Distinction",F219&gt;=60,"Pass",F219&lt;60,"Fail")</f>
        <v>Fail</v>
      </c>
      <c r="I219" t="str">
        <f>IF(OR(D219&lt;75,E219&lt;50),"Needs Intervention","Okay")</f>
        <v>Needs Intervention</v>
      </c>
    </row>
    <row r="220" spans="1:9" x14ac:dyDescent="0.35">
      <c r="A220" t="s">
        <v>365</v>
      </c>
      <c r="B220" t="s">
        <v>739</v>
      </c>
      <c r="C220" t="s">
        <v>783</v>
      </c>
      <c r="D220">
        <v>66</v>
      </c>
      <c r="E220">
        <v>55</v>
      </c>
      <c r="F220">
        <v>84</v>
      </c>
      <c r="G220" t="str">
        <f>IF(F220&gt;=50,"Pass","Fail")</f>
        <v>Pass</v>
      </c>
      <c r="H220" t="str" cm="1">
        <f t="array" ref="H220">_xlfn.IFS(F220&gt;=80,"Distinction",F220&gt;=60,"Pass",F220&lt;60,"Fail")</f>
        <v>Distinction</v>
      </c>
      <c r="I220" t="str">
        <f>IF(OR(D220&lt;75,E220&lt;50),"Needs Intervention","Okay")</f>
        <v>Needs Intervention</v>
      </c>
    </row>
    <row r="221" spans="1:9" x14ac:dyDescent="0.35">
      <c r="A221" t="s">
        <v>368</v>
      </c>
      <c r="B221" t="s">
        <v>742</v>
      </c>
      <c r="C221" t="s">
        <v>783</v>
      </c>
      <c r="D221">
        <v>61</v>
      </c>
      <c r="E221">
        <v>32</v>
      </c>
      <c r="F221">
        <v>39</v>
      </c>
      <c r="G221" t="str">
        <f>IF(F221&gt;=50,"Pass","Fail")</f>
        <v>Fail</v>
      </c>
      <c r="H221" t="str" cm="1">
        <f t="array" ref="H221">_xlfn.IFS(F221&gt;=80,"Distinction",F221&gt;=60,"Pass",F221&lt;60,"Fail")</f>
        <v>Fail</v>
      </c>
      <c r="I221" t="str">
        <f>IF(OR(D221&lt;75,E221&lt;50),"Needs Intervention","Okay")</f>
        <v>Needs Intervention</v>
      </c>
    </row>
    <row r="222" spans="1:9" x14ac:dyDescent="0.35">
      <c r="A222" t="s">
        <v>370</v>
      </c>
      <c r="B222" t="s">
        <v>744</v>
      </c>
      <c r="C222" t="s">
        <v>782</v>
      </c>
      <c r="D222">
        <v>71</v>
      </c>
      <c r="E222">
        <v>41</v>
      </c>
      <c r="F222">
        <v>84</v>
      </c>
      <c r="G222" t="str">
        <f>IF(F222&gt;=50,"Pass","Fail")</f>
        <v>Pass</v>
      </c>
      <c r="H222" t="str" cm="1">
        <f t="array" ref="H222">_xlfn.IFS(F222&gt;=80,"Distinction",F222&gt;=60,"Pass",F222&lt;60,"Fail")</f>
        <v>Distinction</v>
      </c>
      <c r="I222" t="str">
        <f>IF(OR(D222&lt;75,E222&lt;50),"Needs Intervention","Okay")</f>
        <v>Needs Intervention</v>
      </c>
    </row>
    <row r="223" spans="1:9" x14ac:dyDescent="0.35">
      <c r="A223" t="s">
        <v>371</v>
      </c>
      <c r="B223" t="s">
        <v>745</v>
      </c>
      <c r="C223" t="s">
        <v>780</v>
      </c>
      <c r="D223">
        <v>71</v>
      </c>
      <c r="E223">
        <v>94</v>
      </c>
      <c r="F223">
        <v>61</v>
      </c>
      <c r="G223" t="str">
        <f>IF(F223&gt;=50,"Pass","Fail")</f>
        <v>Pass</v>
      </c>
      <c r="H223" t="str" cm="1">
        <f t="array" ref="H223">_xlfn.IFS(F223&gt;=80,"Distinction",F223&gt;=60,"Pass",F223&lt;60,"Fail")</f>
        <v>Pass</v>
      </c>
      <c r="I223" t="str">
        <f>IF(OR(D223&lt;75,E223&lt;50),"Needs Intervention","Okay")</f>
        <v>Needs Intervention</v>
      </c>
    </row>
    <row r="224" spans="1:9" x14ac:dyDescent="0.35">
      <c r="A224" t="s">
        <v>373</v>
      </c>
      <c r="B224" t="s">
        <v>747</v>
      </c>
      <c r="C224" t="s">
        <v>781</v>
      </c>
      <c r="D224">
        <v>79</v>
      </c>
      <c r="E224">
        <v>34</v>
      </c>
      <c r="F224">
        <v>36</v>
      </c>
      <c r="G224" t="str">
        <f>IF(F224&gt;=50,"Pass","Fail")</f>
        <v>Fail</v>
      </c>
      <c r="H224" t="str" cm="1">
        <f t="array" ref="H224">_xlfn.IFS(F224&gt;=80,"Distinction",F224&gt;=60,"Pass",F224&lt;60,"Fail")</f>
        <v>Fail</v>
      </c>
      <c r="I224" t="str">
        <f>IF(OR(D224&lt;75,E224&lt;50),"Needs Intervention","Okay")</f>
        <v>Needs Intervention</v>
      </c>
    </row>
    <row r="225" spans="1:9" x14ac:dyDescent="0.35">
      <c r="A225" t="s">
        <v>375</v>
      </c>
      <c r="B225" t="s">
        <v>749</v>
      </c>
      <c r="C225" t="s">
        <v>782</v>
      </c>
      <c r="D225">
        <v>87</v>
      </c>
      <c r="E225">
        <v>46</v>
      </c>
      <c r="F225">
        <v>94</v>
      </c>
      <c r="G225" t="str">
        <f>IF(F225&gt;=50,"Pass","Fail")</f>
        <v>Pass</v>
      </c>
      <c r="H225" t="str" cm="1">
        <f t="array" ref="H225">_xlfn.IFS(F225&gt;=80,"Distinction",F225&gt;=60,"Pass",F225&lt;60,"Fail")</f>
        <v>Distinction</v>
      </c>
      <c r="I225" t="str">
        <f>IF(OR(D225&lt;75,E225&lt;50),"Needs Intervention","Okay")</f>
        <v>Needs Intervention</v>
      </c>
    </row>
    <row r="226" spans="1:9" x14ac:dyDescent="0.35">
      <c r="A226" t="s">
        <v>378</v>
      </c>
      <c r="B226" t="s">
        <v>752</v>
      </c>
      <c r="C226" t="s">
        <v>782</v>
      </c>
      <c r="D226">
        <v>57</v>
      </c>
      <c r="E226">
        <v>43</v>
      </c>
      <c r="F226">
        <v>88</v>
      </c>
      <c r="G226" t="str">
        <f>IF(F226&gt;=50,"Pass","Fail")</f>
        <v>Pass</v>
      </c>
      <c r="H226" t="str" cm="1">
        <f t="array" ref="H226">_xlfn.IFS(F226&gt;=80,"Distinction",F226&gt;=60,"Pass",F226&lt;60,"Fail")</f>
        <v>Distinction</v>
      </c>
      <c r="I226" t="str">
        <f>IF(OR(D226&lt;75,E226&lt;50),"Needs Intervention","Okay")</f>
        <v>Needs Intervention</v>
      </c>
    </row>
    <row r="227" spans="1:9" x14ac:dyDescent="0.35">
      <c r="A227" t="s">
        <v>382</v>
      </c>
      <c r="B227" t="s">
        <v>756</v>
      </c>
      <c r="C227" t="s">
        <v>784</v>
      </c>
      <c r="D227">
        <v>70</v>
      </c>
      <c r="E227">
        <v>93</v>
      </c>
      <c r="F227">
        <v>37</v>
      </c>
      <c r="G227" t="str">
        <f>IF(F227&gt;=50,"Pass","Fail")</f>
        <v>Fail</v>
      </c>
      <c r="H227" t="str" cm="1">
        <f t="array" ref="H227">_xlfn.IFS(F227&gt;=80,"Distinction",F227&gt;=60,"Pass",F227&lt;60,"Fail")</f>
        <v>Fail</v>
      </c>
      <c r="I227" t="str">
        <f>IF(OR(D227&lt;75,E227&lt;50),"Needs Intervention","Okay")</f>
        <v>Needs Intervention</v>
      </c>
    </row>
    <row r="228" spans="1:9" x14ac:dyDescent="0.35">
      <c r="A228" t="s">
        <v>388</v>
      </c>
      <c r="B228" t="s">
        <v>762</v>
      </c>
      <c r="C228" t="s">
        <v>782</v>
      </c>
      <c r="D228">
        <v>54</v>
      </c>
      <c r="E228">
        <v>81</v>
      </c>
      <c r="F228">
        <v>97</v>
      </c>
      <c r="G228" t="str">
        <f>IF(F228&gt;=50,"Pass","Fail")</f>
        <v>Pass</v>
      </c>
      <c r="H228" t="str" cm="1">
        <f t="array" ref="H228">_xlfn.IFS(F228&gt;=80,"Distinction",F228&gt;=60,"Pass",F228&lt;60,"Fail")</f>
        <v>Distinction</v>
      </c>
      <c r="I228" t="str">
        <f>IF(OR(D228&lt;75,E228&lt;50),"Needs Intervention","Okay")</f>
        <v>Needs Intervention</v>
      </c>
    </row>
    <row r="229" spans="1:9" x14ac:dyDescent="0.35">
      <c r="A229" t="s">
        <v>390</v>
      </c>
      <c r="B229" t="s">
        <v>764</v>
      </c>
      <c r="C229" t="s">
        <v>784</v>
      </c>
      <c r="D229">
        <v>68</v>
      </c>
      <c r="E229">
        <v>59</v>
      </c>
      <c r="F229">
        <v>83</v>
      </c>
      <c r="G229" t="str">
        <f>IF(F229&gt;=50,"Pass","Fail")</f>
        <v>Pass</v>
      </c>
      <c r="H229" t="str" cm="1">
        <f t="array" ref="H229">_xlfn.IFS(F229&gt;=80,"Distinction",F229&gt;=60,"Pass",F229&lt;60,"Fail")</f>
        <v>Distinction</v>
      </c>
      <c r="I229" t="str">
        <f>IF(OR(D229&lt;75,E229&lt;50),"Needs Intervention","Okay")</f>
        <v>Needs Intervention</v>
      </c>
    </row>
    <row r="230" spans="1:9" x14ac:dyDescent="0.35">
      <c r="A230" t="s">
        <v>391</v>
      </c>
      <c r="B230" t="s">
        <v>765</v>
      </c>
      <c r="C230" t="s">
        <v>780</v>
      </c>
      <c r="D230">
        <v>53</v>
      </c>
      <c r="E230">
        <v>80</v>
      </c>
      <c r="F230">
        <v>43</v>
      </c>
      <c r="G230" t="str">
        <f>IF(F230&gt;=50,"Pass","Fail")</f>
        <v>Fail</v>
      </c>
      <c r="H230" t="str" cm="1">
        <f t="array" ref="H230">_xlfn.IFS(F230&gt;=80,"Distinction",F230&gt;=60,"Pass",F230&lt;60,"Fail")</f>
        <v>Fail</v>
      </c>
      <c r="I230" t="str">
        <f>IF(OR(D230&lt;75,E230&lt;50),"Needs Intervention","Okay")</f>
        <v>Needs Intervention</v>
      </c>
    </row>
    <row r="231" spans="1:9" x14ac:dyDescent="0.35">
      <c r="A231" t="s">
        <v>392</v>
      </c>
      <c r="B231" t="s">
        <v>766</v>
      </c>
      <c r="C231" t="s">
        <v>782</v>
      </c>
      <c r="D231">
        <v>84</v>
      </c>
      <c r="E231">
        <v>34</v>
      </c>
      <c r="F231">
        <v>84</v>
      </c>
      <c r="G231" t="str">
        <f>IF(F231&gt;=50,"Pass","Fail")</f>
        <v>Pass</v>
      </c>
      <c r="H231" t="str" cm="1">
        <f t="array" ref="H231">_xlfn.IFS(F231&gt;=80,"Distinction",F231&gt;=60,"Pass",F231&lt;60,"Fail")</f>
        <v>Distinction</v>
      </c>
      <c r="I231" t="str">
        <f>IF(OR(D231&lt;75,E231&lt;50),"Needs Intervention","Okay")</f>
        <v>Needs Intervention</v>
      </c>
    </row>
    <row r="232" spans="1:9" x14ac:dyDescent="0.35">
      <c r="A232" t="s">
        <v>394</v>
      </c>
      <c r="B232" t="s">
        <v>768</v>
      </c>
      <c r="C232" t="s">
        <v>784</v>
      </c>
      <c r="D232">
        <v>66</v>
      </c>
      <c r="E232">
        <v>33</v>
      </c>
      <c r="F232">
        <v>36</v>
      </c>
      <c r="G232" t="str">
        <f>IF(F232&gt;=50,"Pass","Fail")</f>
        <v>Fail</v>
      </c>
      <c r="H232" t="str" cm="1">
        <f t="array" ref="H232">_xlfn.IFS(F232&gt;=80,"Distinction",F232&gt;=60,"Pass",F232&lt;60,"Fail")</f>
        <v>Fail</v>
      </c>
      <c r="I232" t="str">
        <f>IF(OR(D232&lt;75,E232&lt;50),"Needs Intervention","Okay")</f>
        <v>Needs Intervention</v>
      </c>
    </row>
    <row r="233" spans="1:9" x14ac:dyDescent="0.35">
      <c r="A233" t="s">
        <v>395</v>
      </c>
      <c r="B233" t="s">
        <v>769</v>
      </c>
      <c r="C233" t="s">
        <v>782</v>
      </c>
      <c r="D233">
        <v>93</v>
      </c>
      <c r="E233">
        <v>39</v>
      </c>
      <c r="F233">
        <v>36</v>
      </c>
      <c r="G233" t="str">
        <f>IF(F233&gt;=50,"Pass","Fail")</f>
        <v>Fail</v>
      </c>
      <c r="H233" t="str" cm="1">
        <f t="array" ref="H233">_xlfn.IFS(F233&gt;=80,"Distinction",F233&gt;=60,"Pass",F233&lt;60,"Fail")</f>
        <v>Fail</v>
      </c>
      <c r="I233" t="str">
        <f>IF(OR(D233&lt;75,E233&lt;50),"Needs Intervention","Okay")</f>
        <v>Needs Intervention</v>
      </c>
    </row>
    <row r="234" spans="1:9" x14ac:dyDescent="0.35">
      <c r="A234" t="s">
        <v>397</v>
      </c>
      <c r="B234" t="s">
        <v>771</v>
      </c>
      <c r="C234" t="s">
        <v>782</v>
      </c>
      <c r="D234">
        <v>79</v>
      </c>
      <c r="E234">
        <v>46</v>
      </c>
      <c r="F234">
        <v>52</v>
      </c>
      <c r="G234" t="str">
        <f>IF(F234&gt;=50,"Pass","Fail")</f>
        <v>Pass</v>
      </c>
      <c r="H234" t="str" cm="1">
        <f t="array" ref="H234">_xlfn.IFS(F234&gt;=80,"Distinction",F234&gt;=60,"Pass",F234&lt;60,"Fail")</f>
        <v>Fail</v>
      </c>
      <c r="I234" t="str">
        <f>IF(OR(D234&lt;75,E234&lt;50),"Needs Intervention","Okay")</f>
        <v>Needs Intervention</v>
      </c>
    </row>
    <row r="235" spans="1:9" x14ac:dyDescent="0.35">
      <c r="A235" t="s">
        <v>398</v>
      </c>
      <c r="B235" t="s">
        <v>772</v>
      </c>
      <c r="C235" t="s">
        <v>780</v>
      </c>
      <c r="D235">
        <v>78</v>
      </c>
      <c r="E235">
        <v>46</v>
      </c>
      <c r="F235">
        <v>48</v>
      </c>
      <c r="G235" t="str">
        <f>IF(F235&gt;=50,"Pass","Fail")</f>
        <v>Fail</v>
      </c>
      <c r="H235" t="str" cm="1">
        <f t="array" ref="H235">_xlfn.IFS(F235&gt;=80,"Distinction",F235&gt;=60,"Pass",F235&lt;60,"Fail")</f>
        <v>Fail</v>
      </c>
      <c r="I235" t="str">
        <f>IF(OR(D235&lt;75,E235&lt;50),"Needs Intervention","Okay")</f>
        <v>Needs Intervention</v>
      </c>
    </row>
    <row r="236" spans="1:9" x14ac:dyDescent="0.35">
      <c r="A236" t="s">
        <v>400</v>
      </c>
      <c r="B236" t="s">
        <v>774</v>
      </c>
      <c r="C236" t="s">
        <v>783</v>
      </c>
      <c r="D236">
        <v>55</v>
      </c>
      <c r="E236">
        <v>63</v>
      </c>
      <c r="F236">
        <v>65</v>
      </c>
      <c r="G236" t="str">
        <f>IF(F236&gt;=50,"Pass","Fail")</f>
        <v>Pass</v>
      </c>
      <c r="H236" t="str" cm="1">
        <f t="array" ref="H236">_xlfn.IFS(F236&gt;=80,"Distinction",F236&gt;=60,"Pass",F236&lt;60,"Fail")</f>
        <v>Pass</v>
      </c>
      <c r="I236" t="str">
        <f>IF(OR(D236&lt;75,E236&lt;50),"Needs Intervention","Okay")</f>
        <v>Needs Intervention</v>
      </c>
    </row>
    <row r="237" spans="1:9" x14ac:dyDescent="0.35">
      <c r="A237" t="s">
        <v>401</v>
      </c>
      <c r="B237" t="s">
        <v>775</v>
      </c>
      <c r="C237" t="s">
        <v>784</v>
      </c>
      <c r="D237">
        <v>84</v>
      </c>
      <c r="E237">
        <v>35</v>
      </c>
      <c r="F237">
        <v>58</v>
      </c>
      <c r="G237" t="str">
        <f>IF(F237&gt;=50,"Pass","Fail")</f>
        <v>Pass</v>
      </c>
      <c r="H237" t="str" cm="1">
        <f t="array" ref="H237">_xlfn.IFS(F237&gt;=80,"Distinction",F237&gt;=60,"Pass",F237&lt;60,"Fail")</f>
        <v>Fail</v>
      </c>
      <c r="I237" t="str">
        <f>IF(OR(D237&lt;75,E237&lt;50),"Needs Intervention","Okay")</f>
        <v>Needs Intervention</v>
      </c>
    </row>
    <row r="238" spans="1:9" x14ac:dyDescent="0.35">
      <c r="A238" t="s">
        <v>404</v>
      </c>
      <c r="B238" t="s">
        <v>778</v>
      </c>
      <c r="C238" t="s">
        <v>780</v>
      </c>
      <c r="D238">
        <v>73</v>
      </c>
      <c r="E238">
        <v>72</v>
      </c>
      <c r="F238">
        <v>30</v>
      </c>
      <c r="G238" t="str">
        <f>IF(F238&gt;=50,"Pass","Fail")</f>
        <v>Fail</v>
      </c>
      <c r="H238" t="str" cm="1">
        <f t="array" ref="H238">_xlfn.IFS(F238&gt;=80,"Distinction",F238&gt;=60,"Pass",F238&lt;60,"Fail")</f>
        <v>Fail</v>
      </c>
      <c r="I238" t="str">
        <f>IF(OR(D238&lt;75,E238&lt;50),"Needs Intervention","Okay")</f>
        <v>Needs Intervention</v>
      </c>
    </row>
    <row r="239" spans="1:9" x14ac:dyDescent="0.35">
      <c r="A239" t="s">
        <v>31</v>
      </c>
      <c r="B239" t="s">
        <v>406</v>
      </c>
      <c r="C239" t="s">
        <v>780</v>
      </c>
      <c r="D239">
        <v>88</v>
      </c>
      <c r="E239">
        <v>75</v>
      </c>
      <c r="F239">
        <v>84</v>
      </c>
      <c r="G239" t="str">
        <f>IF(F239&gt;=50,"Pass","Fail")</f>
        <v>Pass</v>
      </c>
      <c r="H239" t="str" cm="1">
        <f t="array" ref="H239">_xlfn.IFS(F239&gt;=80,"Distinction",F239&gt;=60,"Pass",F239&lt;60,"Fail")</f>
        <v>Distinction</v>
      </c>
      <c r="I239" t="str">
        <f>IF(OR(D239&lt;75,E239&lt;50),"Needs Intervention","Okay")</f>
        <v>Okay</v>
      </c>
    </row>
    <row r="240" spans="1:9" x14ac:dyDescent="0.35">
      <c r="A240" t="s">
        <v>32</v>
      </c>
      <c r="B240" t="s">
        <v>407</v>
      </c>
      <c r="C240" t="s">
        <v>781</v>
      </c>
      <c r="D240">
        <v>78</v>
      </c>
      <c r="E240">
        <v>82</v>
      </c>
      <c r="F240">
        <v>45</v>
      </c>
      <c r="G240" t="str">
        <f>IF(F240&gt;=50,"Pass","Fail")</f>
        <v>Fail</v>
      </c>
      <c r="H240" t="str" cm="1">
        <f t="array" ref="H240">_xlfn.IFS(F240&gt;=80,"Distinction",F240&gt;=60,"Pass",F240&lt;60,"Fail")</f>
        <v>Fail</v>
      </c>
      <c r="I240" t="str">
        <f>IF(OR(D240&lt;75,E240&lt;50),"Needs Intervention","Okay")</f>
        <v>Okay</v>
      </c>
    </row>
    <row r="241" spans="1:9" x14ac:dyDescent="0.35">
      <c r="A241" t="s">
        <v>34</v>
      </c>
      <c r="B241" t="s">
        <v>409</v>
      </c>
      <c r="C241" t="s">
        <v>782</v>
      </c>
      <c r="D241">
        <v>92</v>
      </c>
      <c r="E241">
        <v>92</v>
      </c>
      <c r="F241">
        <v>33</v>
      </c>
      <c r="G241" t="str">
        <f>IF(F241&gt;=50,"Pass","Fail")</f>
        <v>Fail</v>
      </c>
      <c r="H241" t="str" cm="1">
        <f t="array" ref="H241">_xlfn.IFS(F241&gt;=80,"Distinction",F241&gt;=60,"Pass",F241&lt;60,"Fail")</f>
        <v>Fail</v>
      </c>
      <c r="I241" t="str">
        <f>IF(OR(D241&lt;75,E241&lt;50),"Needs Intervention","Okay")</f>
        <v>Okay</v>
      </c>
    </row>
    <row r="242" spans="1:9" x14ac:dyDescent="0.35">
      <c r="A242" t="s">
        <v>37</v>
      </c>
      <c r="B242" t="s">
        <v>412</v>
      </c>
      <c r="C242" t="s">
        <v>783</v>
      </c>
      <c r="D242">
        <v>88</v>
      </c>
      <c r="E242">
        <v>96</v>
      </c>
      <c r="F242">
        <v>54</v>
      </c>
      <c r="G242" t="str">
        <f>IF(F242&gt;=50,"Pass","Fail")</f>
        <v>Pass</v>
      </c>
      <c r="H242" t="str" cm="1">
        <f t="array" ref="H242">_xlfn.IFS(F242&gt;=80,"Distinction",F242&gt;=60,"Pass",F242&lt;60,"Fail")</f>
        <v>Fail</v>
      </c>
      <c r="I242" t="str">
        <f>IF(OR(D242&lt;75,E242&lt;50),"Needs Intervention","Okay")</f>
        <v>Okay</v>
      </c>
    </row>
    <row r="243" spans="1:9" x14ac:dyDescent="0.35">
      <c r="A243" t="s">
        <v>43</v>
      </c>
      <c r="B243" t="s">
        <v>418</v>
      </c>
      <c r="C243" t="s">
        <v>781</v>
      </c>
      <c r="D243">
        <v>85</v>
      </c>
      <c r="E243">
        <v>75</v>
      </c>
      <c r="F243">
        <v>90</v>
      </c>
      <c r="G243" t="str">
        <f>IF(F243&gt;=50,"Pass","Fail")</f>
        <v>Pass</v>
      </c>
      <c r="H243" t="str" cm="1">
        <f t="array" ref="H243">_xlfn.IFS(F243&gt;=80,"Distinction",F243&gt;=60,"Pass",F243&lt;60,"Fail")</f>
        <v>Distinction</v>
      </c>
      <c r="I243" t="str">
        <f>IF(OR(D243&lt;75,E243&lt;50),"Needs Intervention","Okay")</f>
        <v>Okay</v>
      </c>
    </row>
    <row r="244" spans="1:9" x14ac:dyDescent="0.35">
      <c r="A244" t="s">
        <v>44</v>
      </c>
      <c r="B244" t="s">
        <v>419</v>
      </c>
      <c r="C244" t="s">
        <v>781</v>
      </c>
      <c r="D244">
        <v>89</v>
      </c>
      <c r="E244">
        <v>53</v>
      </c>
      <c r="F244">
        <v>80</v>
      </c>
      <c r="G244" t="str">
        <f>IF(F244&gt;=50,"Pass","Fail")</f>
        <v>Pass</v>
      </c>
      <c r="H244" t="str" cm="1">
        <f t="array" ref="H244">_xlfn.IFS(F244&gt;=80,"Distinction",F244&gt;=60,"Pass",F244&lt;60,"Fail")</f>
        <v>Distinction</v>
      </c>
      <c r="I244" t="str">
        <f>IF(OR(D244&lt;75,E244&lt;50),"Needs Intervention","Okay")</f>
        <v>Okay</v>
      </c>
    </row>
    <row r="245" spans="1:9" x14ac:dyDescent="0.35">
      <c r="A245" t="s">
        <v>52</v>
      </c>
      <c r="B245" t="s">
        <v>427</v>
      </c>
      <c r="C245" t="s">
        <v>780</v>
      </c>
      <c r="D245">
        <v>87</v>
      </c>
      <c r="E245">
        <v>62</v>
      </c>
      <c r="F245">
        <v>99</v>
      </c>
      <c r="G245" t="str">
        <f>IF(F245&gt;=50,"Pass","Fail")</f>
        <v>Pass</v>
      </c>
      <c r="H245" t="str" cm="1">
        <f t="array" ref="H245">_xlfn.IFS(F245&gt;=80,"Distinction",F245&gt;=60,"Pass",F245&lt;60,"Fail")</f>
        <v>Distinction</v>
      </c>
      <c r="I245" t="str">
        <f>IF(OR(D245&lt;75,E245&lt;50),"Needs Intervention","Okay")</f>
        <v>Okay</v>
      </c>
    </row>
    <row r="246" spans="1:9" x14ac:dyDescent="0.35">
      <c r="A246" t="s">
        <v>55</v>
      </c>
      <c r="B246" t="s">
        <v>430</v>
      </c>
      <c r="C246" t="s">
        <v>783</v>
      </c>
      <c r="D246">
        <v>82</v>
      </c>
      <c r="E246">
        <v>77</v>
      </c>
      <c r="F246">
        <v>41</v>
      </c>
      <c r="G246" t="str">
        <f>IF(F246&gt;=50,"Pass","Fail")</f>
        <v>Fail</v>
      </c>
      <c r="H246" t="str" cm="1">
        <f t="array" ref="H246">_xlfn.IFS(F246&gt;=80,"Distinction",F246&gt;=60,"Pass",F246&lt;60,"Fail")</f>
        <v>Fail</v>
      </c>
      <c r="I246" t="str">
        <f>IF(OR(D246&lt;75,E246&lt;50),"Needs Intervention","Okay")</f>
        <v>Okay</v>
      </c>
    </row>
    <row r="247" spans="1:9" x14ac:dyDescent="0.35">
      <c r="A247" t="s">
        <v>58</v>
      </c>
      <c r="B247" t="s">
        <v>433</v>
      </c>
      <c r="C247" t="s">
        <v>781</v>
      </c>
      <c r="D247">
        <v>93</v>
      </c>
      <c r="E247">
        <v>55</v>
      </c>
      <c r="F247">
        <v>78</v>
      </c>
      <c r="G247" t="str">
        <f>IF(F247&gt;=50,"Pass","Fail")</f>
        <v>Pass</v>
      </c>
      <c r="H247" t="str" cm="1">
        <f t="array" ref="H247">_xlfn.IFS(F247&gt;=80,"Distinction",F247&gt;=60,"Pass",F247&lt;60,"Fail")</f>
        <v>Pass</v>
      </c>
      <c r="I247" t="str">
        <f>IF(OR(D247&lt;75,E247&lt;50),"Needs Intervention","Okay")</f>
        <v>Okay</v>
      </c>
    </row>
    <row r="248" spans="1:9" x14ac:dyDescent="0.35">
      <c r="A248" t="s">
        <v>60</v>
      </c>
      <c r="B248" t="s">
        <v>435</v>
      </c>
      <c r="C248" t="s">
        <v>780</v>
      </c>
      <c r="D248">
        <v>98</v>
      </c>
      <c r="E248">
        <v>54</v>
      </c>
      <c r="F248">
        <v>56</v>
      </c>
      <c r="G248" t="str">
        <f>IF(F248&gt;=50,"Pass","Fail")</f>
        <v>Pass</v>
      </c>
      <c r="H248" t="str" cm="1">
        <f t="array" ref="H248">_xlfn.IFS(F248&gt;=80,"Distinction",F248&gt;=60,"Pass",F248&lt;60,"Fail")</f>
        <v>Fail</v>
      </c>
      <c r="I248" t="str">
        <f>IF(OR(D248&lt;75,E248&lt;50),"Needs Intervention","Okay")</f>
        <v>Okay</v>
      </c>
    </row>
    <row r="249" spans="1:9" x14ac:dyDescent="0.35">
      <c r="A249" t="s">
        <v>61</v>
      </c>
      <c r="B249" t="s">
        <v>436</v>
      </c>
      <c r="C249" t="s">
        <v>783</v>
      </c>
      <c r="D249">
        <v>76</v>
      </c>
      <c r="E249">
        <v>53</v>
      </c>
      <c r="F249">
        <v>55</v>
      </c>
      <c r="G249" t="str">
        <f>IF(F249&gt;=50,"Pass","Fail")</f>
        <v>Pass</v>
      </c>
      <c r="H249" t="str" cm="1">
        <f t="array" ref="H249">_xlfn.IFS(F249&gt;=80,"Distinction",F249&gt;=60,"Pass",F249&lt;60,"Fail")</f>
        <v>Fail</v>
      </c>
      <c r="I249" t="str">
        <f>IF(OR(D249&lt;75,E249&lt;50),"Needs Intervention","Okay")</f>
        <v>Okay</v>
      </c>
    </row>
    <row r="250" spans="1:9" x14ac:dyDescent="0.35">
      <c r="A250" t="s">
        <v>63</v>
      </c>
      <c r="B250" t="s">
        <v>438</v>
      </c>
      <c r="C250" t="s">
        <v>784</v>
      </c>
      <c r="D250">
        <v>77</v>
      </c>
      <c r="E250">
        <v>89</v>
      </c>
      <c r="F250">
        <v>85</v>
      </c>
      <c r="G250" t="str">
        <f>IF(F250&gt;=50,"Pass","Fail")</f>
        <v>Pass</v>
      </c>
      <c r="H250" t="str" cm="1">
        <f t="array" ref="H250">_xlfn.IFS(F250&gt;=80,"Distinction",F250&gt;=60,"Pass",F250&lt;60,"Fail")</f>
        <v>Distinction</v>
      </c>
      <c r="I250" t="str">
        <f>IF(OR(D250&lt;75,E250&lt;50),"Needs Intervention","Okay")</f>
        <v>Okay</v>
      </c>
    </row>
    <row r="251" spans="1:9" x14ac:dyDescent="0.35">
      <c r="A251" t="s">
        <v>66</v>
      </c>
      <c r="B251" t="s">
        <v>441</v>
      </c>
      <c r="C251" t="s">
        <v>784</v>
      </c>
      <c r="D251">
        <v>96</v>
      </c>
      <c r="E251">
        <v>65</v>
      </c>
      <c r="F251">
        <v>90</v>
      </c>
      <c r="G251" t="str">
        <f>IF(F251&gt;=50,"Pass","Fail")</f>
        <v>Pass</v>
      </c>
      <c r="H251" t="str" cm="1">
        <f t="array" ref="H251">_xlfn.IFS(F251&gt;=80,"Distinction",F251&gt;=60,"Pass",F251&lt;60,"Fail")</f>
        <v>Distinction</v>
      </c>
      <c r="I251" t="str">
        <f>IF(OR(D251&lt;75,E251&lt;50),"Needs Intervention","Okay")</f>
        <v>Okay</v>
      </c>
    </row>
    <row r="252" spans="1:9" x14ac:dyDescent="0.35">
      <c r="A252" t="s">
        <v>67</v>
      </c>
      <c r="B252" t="s">
        <v>442</v>
      </c>
      <c r="C252" t="s">
        <v>783</v>
      </c>
      <c r="D252">
        <v>100</v>
      </c>
      <c r="E252">
        <v>74</v>
      </c>
      <c r="F252">
        <v>55</v>
      </c>
      <c r="G252" t="str">
        <f>IF(F252&gt;=50,"Pass","Fail")</f>
        <v>Pass</v>
      </c>
      <c r="H252" t="str" cm="1">
        <f t="array" ref="H252">_xlfn.IFS(F252&gt;=80,"Distinction",F252&gt;=60,"Pass",F252&lt;60,"Fail")</f>
        <v>Fail</v>
      </c>
      <c r="I252" t="str">
        <f>IF(OR(D252&lt;75,E252&lt;50),"Needs Intervention","Okay")</f>
        <v>Okay</v>
      </c>
    </row>
    <row r="253" spans="1:9" x14ac:dyDescent="0.35">
      <c r="A253" t="s">
        <v>75</v>
      </c>
      <c r="B253" t="s">
        <v>450</v>
      </c>
      <c r="C253" t="s">
        <v>781</v>
      </c>
      <c r="D253">
        <v>88</v>
      </c>
      <c r="E253">
        <v>61</v>
      </c>
      <c r="F253">
        <v>57</v>
      </c>
      <c r="G253" t="str">
        <f>IF(F253&gt;=50,"Pass","Fail")</f>
        <v>Pass</v>
      </c>
      <c r="H253" t="str" cm="1">
        <f t="array" ref="H253">_xlfn.IFS(F253&gt;=80,"Distinction",F253&gt;=60,"Pass",F253&lt;60,"Fail")</f>
        <v>Fail</v>
      </c>
      <c r="I253" t="str">
        <f>IF(OR(D253&lt;75,E253&lt;50),"Needs Intervention","Okay")</f>
        <v>Okay</v>
      </c>
    </row>
    <row r="254" spans="1:9" x14ac:dyDescent="0.35">
      <c r="A254" t="s">
        <v>80</v>
      </c>
      <c r="B254" t="s">
        <v>455</v>
      </c>
      <c r="C254" t="s">
        <v>782</v>
      </c>
      <c r="D254">
        <v>99</v>
      </c>
      <c r="E254">
        <v>92</v>
      </c>
      <c r="F254">
        <v>85</v>
      </c>
      <c r="G254" t="str">
        <f>IF(F254&gt;=50,"Pass","Fail")</f>
        <v>Pass</v>
      </c>
      <c r="H254" t="str" cm="1">
        <f t="array" ref="H254">_xlfn.IFS(F254&gt;=80,"Distinction",F254&gt;=60,"Pass",F254&lt;60,"Fail")</f>
        <v>Distinction</v>
      </c>
      <c r="I254" t="str">
        <f>IF(OR(D254&lt;75,E254&lt;50),"Needs Intervention","Okay")</f>
        <v>Okay</v>
      </c>
    </row>
    <row r="255" spans="1:9" x14ac:dyDescent="0.35">
      <c r="A255" t="s">
        <v>82</v>
      </c>
      <c r="B255" t="s">
        <v>457</v>
      </c>
      <c r="C255" t="s">
        <v>782</v>
      </c>
      <c r="D255">
        <v>75</v>
      </c>
      <c r="E255">
        <v>51</v>
      </c>
      <c r="F255">
        <v>32</v>
      </c>
      <c r="G255" t="str">
        <f>IF(F255&gt;=50,"Pass","Fail")</f>
        <v>Fail</v>
      </c>
      <c r="H255" t="str" cm="1">
        <f t="array" ref="H255">_xlfn.IFS(F255&gt;=80,"Distinction",F255&gt;=60,"Pass",F255&lt;60,"Fail")</f>
        <v>Fail</v>
      </c>
      <c r="I255" t="str">
        <f>IF(OR(D255&lt;75,E255&lt;50),"Needs Intervention","Okay")</f>
        <v>Okay</v>
      </c>
    </row>
    <row r="256" spans="1:9" x14ac:dyDescent="0.35">
      <c r="A256" t="s">
        <v>85</v>
      </c>
      <c r="B256" t="s">
        <v>460</v>
      </c>
      <c r="C256" t="s">
        <v>780</v>
      </c>
      <c r="D256">
        <v>77</v>
      </c>
      <c r="E256">
        <v>78</v>
      </c>
      <c r="F256">
        <v>67</v>
      </c>
      <c r="G256" t="str">
        <f>IF(F256&gt;=50,"Pass","Fail")</f>
        <v>Pass</v>
      </c>
      <c r="H256" t="str" cm="1">
        <f t="array" ref="H256">_xlfn.IFS(F256&gt;=80,"Distinction",F256&gt;=60,"Pass",F256&lt;60,"Fail")</f>
        <v>Pass</v>
      </c>
      <c r="I256" t="str">
        <f>IF(OR(D256&lt;75,E256&lt;50),"Needs Intervention","Okay")</f>
        <v>Okay</v>
      </c>
    </row>
    <row r="257" spans="1:9" x14ac:dyDescent="0.35">
      <c r="A257" t="s">
        <v>86</v>
      </c>
      <c r="B257" t="s">
        <v>461</v>
      </c>
      <c r="C257" t="s">
        <v>780</v>
      </c>
      <c r="D257">
        <v>96</v>
      </c>
      <c r="E257">
        <v>81</v>
      </c>
      <c r="F257">
        <v>44</v>
      </c>
      <c r="G257" t="str">
        <f>IF(F257&gt;=50,"Pass","Fail")</f>
        <v>Fail</v>
      </c>
      <c r="H257" t="str" cm="1">
        <f t="array" ref="H257">_xlfn.IFS(F257&gt;=80,"Distinction",F257&gt;=60,"Pass",F257&lt;60,"Fail")</f>
        <v>Fail</v>
      </c>
      <c r="I257" t="str">
        <f>IF(OR(D257&lt;75,E257&lt;50),"Needs Intervention","Okay")</f>
        <v>Okay</v>
      </c>
    </row>
    <row r="258" spans="1:9" x14ac:dyDescent="0.35">
      <c r="A258" t="s">
        <v>88</v>
      </c>
      <c r="B258" t="s">
        <v>463</v>
      </c>
      <c r="C258" t="s">
        <v>780</v>
      </c>
      <c r="D258">
        <v>93</v>
      </c>
      <c r="E258">
        <v>99</v>
      </c>
      <c r="F258">
        <v>57</v>
      </c>
      <c r="G258" t="str">
        <f>IF(F258&gt;=50,"Pass","Fail")</f>
        <v>Pass</v>
      </c>
      <c r="H258" t="str" cm="1">
        <f t="array" ref="H258">_xlfn.IFS(F258&gt;=80,"Distinction",F258&gt;=60,"Pass",F258&lt;60,"Fail")</f>
        <v>Fail</v>
      </c>
      <c r="I258" t="str">
        <f>IF(OR(D258&lt;75,E258&lt;50),"Needs Intervention","Okay")</f>
        <v>Okay</v>
      </c>
    </row>
    <row r="259" spans="1:9" x14ac:dyDescent="0.35">
      <c r="A259" t="s">
        <v>90</v>
      </c>
      <c r="B259" t="s">
        <v>465</v>
      </c>
      <c r="C259" t="s">
        <v>782</v>
      </c>
      <c r="D259">
        <v>96</v>
      </c>
      <c r="E259">
        <v>83</v>
      </c>
      <c r="F259">
        <v>86</v>
      </c>
      <c r="G259" t="str">
        <f>IF(F259&gt;=50,"Pass","Fail")</f>
        <v>Pass</v>
      </c>
      <c r="H259" t="str" cm="1">
        <f t="array" ref="H259">_xlfn.IFS(F259&gt;=80,"Distinction",F259&gt;=60,"Pass",F259&lt;60,"Fail")</f>
        <v>Distinction</v>
      </c>
      <c r="I259" t="str">
        <f>IF(OR(D259&lt;75,E259&lt;50),"Needs Intervention","Okay")</f>
        <v>Okay</v>
      </c>
    </row>
    <row r="260" spans="1:9" x14ac:dyDescent="0.35">
      <c r="A260" t="s">
        <v>91</v>
      </c>
      <c r="B260" t="s">
        <v>466</v>
      </c>
      <c r="C260" t="s">
        <v>783</v>
      </c>
      <c r="D260">
        <v>84</v>
      </c>
      <c r="E260">
        <v>89</v>
      </c>
      <c r="F260">
        <v>46</v>
      </c>
      <c r="G260" t="str">
        <f>IF(F260&gt;=50,"Pass","Fail")</f>
        <v>Fail</v>
      </c>
      <c r="H260" t="str" cm="1">
        <f t="array" ref="H260">_xlfn.IFS(F260&gt;=80,"Distinction",F260&gt;=60,"Pass",F260&lt;60,"Fail")</f>
        <v>Fail</v>
      </c>
      <c r="I260" t="str">
        <f>IF(OR(D260&lt;75,E260&lt;50),"Needs Intervention","Okay")</f>
        <v>Okay</v>
      </c>
    </row>
    <row r="261" spans="1:9" x14ac:dyDescent="0.35">
      <c r="A261" t="s">
        <v>94</v>
      </c>
      <c r="B261" t="s">
        <v>469</v>
      </c>
      <c r="C261" t="s">
        <v>780</v>
      </c>
      <c r="D261">
        <v>85</v>
      </c>
      <c r="E261">
        <v>89</v>
      </c>
      <c r="F261">
        <v>46</v>
      </c>
      <c r="G261" t="str">
        <f>IF(F261&gt;=50,"Pass","Fail")</f>
        <v>Fail</v>
      </c>
      <c r="H261" t="str" cm="1">
        <f t="array" ref="H261">_xlfn.IFS(F261&gt;=80,"Distinction",F261&gt;=60,"Pass",F261&lt;60,"Fail")</f>
        <v>Fail</v>
      </c>
      <c r="I261" t="str">
        <f>IF(OR(D261&lt;75,E261&lt;50),"Needs Intervention","Okay")</f>
        <v>Okay</v>
      </c>
    </row>
    <row r="262" spans="1:9" x14ac:dyDescent="0.35">
      <c r="A262" t="s">
        <v>96</v>
      </c>
      <c r="B262" t="s">
        <v>471</v>
      </c>
      <c r="C262" t="s">
        <v>780</v>
      </c>
      <c r="D262">
        <v>89</v>
      </c>
      <c r="E262">
        <v>97</v>
      </c>
      <c r="F262">
        <v>54</v>
      </c>
      <c r="G262" t="str">
        <f>IF(F262&gt;=50,"Pass","Fail")</f>
        <v>Pass</v>
      </c>
      <c r="H262" t="str" cm="1">
        <f t="array" ref="H262">_xlfn.IFS(F262&gt;=80,"Distinction",F262&gt;=60,"Pass",F262&lt;60,"Fail")</f>
        <v>Fail</v>
      </c>
      <c r="I262" t="str">
        <f>IF(OR(D262&lt;75,E262&lt;50),"Needs Intervention","Okay")</f>
        <v>Okay</v>
      </c>
    </row>
    <row r="263" spans="1:9" x14ac:dyDescent="0.35">
      <c r="A263" t="s">
        <v>100</v>
      </c>
      <c r="B263" t="s">
        <v>475</v>
      </c>
      <c r="C263" t="s">
        <v>782</v>
      </c>
      <c r="D263">
        <v>91</v>
      </c>
      <c r="E263">
        <v>69</v>
      </c>
      <c r="F263">
        <v>47</v>
      </c>
      <c r="G263" t="str">
        <f>IF(F263&gt;=50,"Pass","Fail")</f>
        <v>Fail</v>
      </c>
      <c r="H263" t="str" cm="1">
        <f t="array" ref="H263">_xlfn.IFS(F263&gt;=80,"Distinction",F263&gt;=60,"Pass",F263&lt;60,"Fail")</f>
        <v>Fail</v>
      </c>
      <c r="I263" t="str">
        <f>IF(OR(D263&lt;75,E263&lt;50),"Needs Intervention","Okay")</f>
        <v>Okay</v>
      </c>
    </row>
    <row r="264" spans="1:9" x14ac:dyDescent="0.35">
      <c r="A264" t="s">
        <v>104</v>
      </c>
      <c r="B264" t="s">
        <v>479</v>
      </c>
      <c r="C264" t="s">
        <v>782</v>
      </c>
      <c r="D264">
        <v>75</v>
      </c>
      <c r="E264">
        <v>59</v>
      </c>
      <c r="F264">
        <v>71</v>
      </c>
      <c r="G264" t="str">
        <f>IF(F264&gt;=50,"Pass","Fail")</f>
        <v>Pass</v>
      </c>
      <c r="H264" t="str" cm="1">
        <f t="array" ref="H264">_xlfn.IFS(F264&gt;=80,"Distinction",F264&gt;=60,"Pass",F264&lt;60,"Fail")</f>
        <v>Pass</v>
      </c>
      <c r="I264" t="str">
        <f>IF(OR(D264&lt;75,E264&lt;50),"Needs Intervention","Okay")</f>
        <v>Okay</v>
      </c>
    </row>
    <row r="265" spans="1:9" x14ac:dyDescent="0.35">
      <c r="A265" t="s">
        <v>110</v>
      </c>
      <c r="B265" t="s">
        <v>485</v>
      </c>
      <c r="C265" t="s">
        <v>782</v>
      </c>
      <c r="D265">
        <v>80</v>
      </c>
      <c r="E265">
        <v>84</v>
      </c>
      <c r="F265">
        <v>88</v>
      </c>
      <c r="G265" t="str">
        <f>IF(F265&gt;=50,"Pass","Fail")</f>
        <v>Pass</v>
      </c>
      <c r="H265" t="str" cm="1">
        <f t="array" ref="H265">_xlfn.IFS(F265&gt;=80,"Distinction",F265&gt;=60,"Pass",F265&lt;60,"Fail")</f>
        <v>Distinction</v>
      </c>
      <c r="I265" t="str">
        <f>IF(OR(D265&lt;75,E265&lt;50),"Needs Intervention","Okay")</f>
        <v>Okay</v>
      </c>
    </row>
    <row r="266" spans="1:9" x14ac:dyDescent="0.35">
      <c r="A266" t="s">
        <v>111</v>
      </c>
      <c r="B266" t="s">
        <v>486</v>
      </c>
      <c r="C266" t="s">
        <v>784</v>
      </c>
      <c r="D266">
        <v>97</v>
      </c>
      <c r="E266">
        <v>91</v>
      </c>
      <c r="F266">
        <v>85</v>
      </c>
      <c r="G266" t="str">
        <f>IF(F266&gt;=50,"Pass","Fail")</f>
        <v>Pass</v>
      </c>
      <c r="H266" t="str" cm="1">
        <f t="array" ref="H266">_xlfn.IFS(F266&gt;=80,"Distinction",F266&gt;=60,"Pass",F266&lt;60,"Fail")</f>
        <v>Distinction</v>
      </c>
      <c r="I266" t="str">
        <f>IF(OR(D266&lt;75,E266&lt;50),"Needs Intervention","Okay")</f>
        <v>Okay</v>
      </c>
    </row>
    <row r="267" spans="1:9" x14ac:dyDescent="0.35">
      <c r="A267" t="s">
        <v>116</v>
      </c>
      <c r="B267" t="s">
        <v>491</v>
      </c>
      <c r="C267" t="s">
        <v>782</v>
      </c>
      <c r="D267">
        <v>89</v>
      </c>
      <c r="E267">
        <v>87</v>
      </c>
      <c r="F267">
        <v>51</v>
      </c>
      <c r="G267" t="str">
        <f>IF(F267&gt;=50,"Pass","Fail")</f>
        <v>Pass</v>
      </c>
      <c r="H267" t="str" cm="1">
        <f t="array" ref="H267">_xlfn.IFS(F267&gt;=80,"Distinction",F267&gt;=60,"Pass",F267&lt;60,"Fail")</f>
        <v>Fail</v>
      </c>
      <c r="I267" t="str">
        <f>IF(OR(D267&lt;75,E267&lt;50),"Needs Intervention","Okay")</f>
        <v>Okay</v>
      </c>
    </row>
    <row r="268" spans="1:9" x14ac:dyDescent="0.35">
      <c r="A268" t="s">
        <v>119</v>
      </c>
      <c r="B268" t="s">
        <v>494</v>
      </c>
      <c r="C268" t="s">
        <v>781</v>
      </c>
      <c r="D268">
        <v>94</v>
      </c>
      <c r="E268">
        <v>77</v>
      </c>
      <c r="F268">
        <v>99</v>
      </c>
      <c r="G268" t="str">
        <f>IF(F268&gt;=50,"Pass","Fail")</f>
        <v>Pass</v>
      </c>
      <c r="H268" t="str" cm="1">
        <f t="array" ref="H268">_xlfn.IFS(F268&gt;=80,"Distinction",F268&gt;=60,"Pass",F268&lt;60,"Fail")</f>
        <v>Distinction</v>
      </c>
      <c r="I268" t="str">
        <f>IF(OR(D268&lt;75,E268&lt;50),"Needs Intervention","Okay")</f>
        <v>Okay</v>
      </c>
    </row>
    <row r="269" spans="1:9" x14ac:dyDescent="0.35">
      <c r="A269" t="s">
        <v>123</v>
      </c>
      <c r="B269" t="s">
        <v>498</v>
      </c>
      <c r="C269" t="s">
        <v>780</v>
      </c>
      <c r="D269">
        <v>75</v>
      </c>
      <c r="E269">
        <v>93</v>
      </c>
      <c r="F269">
        <v>53</v>
      </c>
      <c r="G269" t="str">
        <f>IF(F269&gt;=50,"Pass","Fail")</f>
        <v>Pass</v>
      </c>
      <c r="H269" t="str" cm="1">
        <f t="array" ref="H269">_xlfn.IFS(F269&gt;=80,"Distinction",F269&gt;=60,"Pass",F269&lt;60,"Fail")</f>
        <v>Fail</v>
      </c>
      <c r="I269" t="str">
        <f>IF(OR(D269&lt;75,E269&lt;50),"Needs Intervention","Okay")</f>
        <v>Okay</v>
      </c>
    </row>
    <row r="270" spans="1:9" x14ac:dyDescent="0.35">
      <c r="A270" t="s">
        <v>125</v>
      </c>
      <c r="B270" t="s">
        <v>500</v>
      </c>
      <c r="C270" t="s">
        <v>781</v>
      </c>
      <c r="D270">
        <v>94</v>
      </c>
      <c r="E270">
        <v>98</v>
      </c>
      <c r="F270">
        <v>38</v>
      </c>
      <c r="G270" t="str">
        <f>IF(F270&gt;=50,"Pass","Fail")</f>
        <v>Fail</v>
      </c>
      <c r="H270" t="str" cm="1">
        <f t="array" ref="H270">_xlfn.IFS(F270&gt;=80,"Distinction",F270&gt;=60,"Pass",F270&lt;60,"Fail")</f>
        <v>Fail</v>
      </c>
      <c r="I270" t="str">
        <f>IF(OR(D270&lt;75,E270&lt;50),"Needs Intervention","Okay")</f>
        <v>Okay</v>
      </c>
    </row>
    <row r="271" spans="1:9" x14ac:dyDescent="0.35">
      <c r="A271" t="s">
        <v>126</v>
      </c>
      <c r="B271" t="s">
        <v>501</v>
      </c>
      <c r="C271" t="s">
        <v>782</v>
      </c>
      <c r="D271">
        <v>90</v>
      </c>
      <c r="E271">
        <v>51</v>
      </c>
      <c r="F271">
        <v>32</v>
      </c>
      <c r="G271" t="str">
        <f>IF(F271&gt;=50,"Pass","Fail")</f>
        <v>Fail</v>
      </c>
      <c r="H271" t="str" cm="1">
        <f t="array" ref="H271">_xlfn.IFS(F271&gt;=80,"Distinction",F271&gt;=60,"Pass",F271&lt;60,"Fail")</f>
        <v>Fail</v>
      </c>
      <c r="I271" t="str">
        <f>IF(OR(D271&lt;75,E271&lt;50),"Needs Intervention","Okay")</f>
        <v>Okay</v>
      </c>
    </row>
    <row r="272" spans="1:9" x14ac:dyDescent="0.35">
      <c r="A272" t="s">
        <v>127</v>
      </c>
      <c r="B272" t="s">
        <v>502</v>
      </c>
      <c r="C272" t="s">
        <v>783</v>
      </c>
      <c r="D272">
        <v>78</v>
      </c>
      <c r="E272">
        <v>96</v>
      </c>
      <c r="F272">
        <v>60</v>
      </c>
      <c r="G272" t="str">
        <f>IF(F272&gt;=50,"Pass","Fail")</f>
        <v>Pass</v>
      </c>
      <c r="H272" t="str" cm="1">
        <f t="array" ref="H272">_xlfn.IFS(F272&gt;=80,"Distinction",F272&gt;=60,"Pass",F272&lt;60,"Fail")</f>
        <v>Pass</v>
      </c>
      <c r="I272" t="str">
        <f>IF(OR(D272&lt;75,E272&lt;50),"Needs Intervention","Okay")</f>
        <v>Okay</v>
      </c>
    </row>
    <row r="273" spans="1:9" x14ac:dyDescent="0.35">
      <c r="A273" t="s">
        <v>136</v>
      </c>
      <c r="B273" t="s">
        <v>511</v>
      </c>
      <c r="C273" t="s">
        <v>780</v>
      </c>
      <c r="D273">
        <v>93</v>
      </c>
      <c r="E273">
        <v>98</v>
      </c>
      <c r="F273">
        <v>91</v>
      </c>
      <c r="G273" t="str">
        <f>IF(F273&gt;=50,"Pass","Fail")</f>
        <v>Pass</v>
      </c>
      <c r="H273" t="str" cm="1">
        <f t="array" ref="H273">_xlfn.IFS(F273&gt;=80,"Distinction",F273&gt;=60,"Pass",F273&lt;60,"Fail")</f>
        <v>Distinction</v>
      </c>
      <c r="I273" t="str">
        <f>IF(OR(D273&lt;75,E273&lt;50),"Needs Intervention","Okay")</f>
        <v>Okay</v>
      </c>
    </row>
    <row r="274" spans="1:9" x14ac:dyDescent="0.35">
      <c r="A274" t="s">
        <v>140</v>
      </c>
      <c r="B274" t="s">
        <v>515</v>
      </c>
      <c r="C274" t="s">
        <v>783</v>
      </c>
      <c r="D274">
        <v>100</v>
      </c>
      <c r="E274">
        <v>62</v>
      </c>
      <c r="F274">
        <v>55</v>
      </c>
      <c r="G274" t="str">
        <f>IF(F274&gt;=50,"Pass","Fail")</f>
        <v>Pass</v>
      </c>
      <c r="H274" t="str" cm="1">
        <f t="array" ref="H274">_xlfn.IFS(F274&gt;=80,"Distinction",F274&gt;=60,"Pass",F274&lt;60,"Fail")</f>
        <v>Fail</v>
      </c>
      <c r="I274" t="str">
        <f>IF(OR(D274&lt;75,E274&lt;50),"Needs Intervention","Okay")</f>
        <v>Okay</v>
      </c>
    </row>
    <row r="275" spans="1:9" x14ac:dyDescent="0.35">
      <c r="A275" t="s">
        <v>143</v>
      </c>
      <c r="B275" t="s">
        <v>518</v>
      </c>
      <c r="C275" t="s">
        <v>784</v>
      </c>
      <c r="D275">
        <v>84</v>
      </c>
      <c r="E275">
        <v>98</v>
      </c>
      <c r="F275">
        <v>73</v>
      </c>
      <c r="G275" t="str">
        <f>IF(F275&gt;=50,"Pass","Fail")</f>
        <v>Pass</v>
      </c>
      <c r="H275" t="str" cm="1">
        <f t="array" ref="H275">_xlfn.IFS(F275&gt;=80,"Distinction",F275&gt;=60,"Pass",F275&lt;60,"Fail")</f>
        <v>Pass</v>
      </c>
      <c r="I275" t="str">
        <f>IF(OR(D275&lt;75,E275&lt;50),"Needs Intervention","Okay")</f>
        <v>Okay</v>
      </c>
    </row>
    <row r="276" spans="1:9" x14ac:dyDescent="0.35">
      <c r="A276" t="s">
        <v>144</v>
      </c>
      <c r="B276" t="s">
        <v>519</v>
      </c>
      <c r="C276" t="s">
        <v>781</v>
      </c>
      <c r="D276">
        <v>84</v>
      </c>
      <c r="E276">
        <v>63</v>
      </c>
      <c r="F276">
        <v>34</v>
      </c>
      <c r="G276" t="str">
        <f>IF(F276&gt;=50,"Pass","Fail")</f>
        <v>Fail</v>
      </c>
      <c r="H276" t="str" cm="1">
        <f t="array" ref="H276">_xlfn.IFS(F276&gt;=80,"Distinction",F276&gt;=60,"Pass",F276&lt;60,"Fail")</f>
        <v>Fail</v>
      </c>
      <c r="I276" t="str">
        <f>IF(OR(D276&lt;75,E276&lt;50),"Needs Intervention","Okay")</f>
        <v>Okay</v>
      </c>
    </row>
    <row r="277" spans="1:9" x14ac:dyDescent="0.35">
      <c r="A277" t="s">
        <v>145</v>
      </c>
      <c r="B277" t="s">
        <v>520</v>
      </c>
      <c r="C277" t="s">
        <v>783</v>
      </c>
      <c r="D277">
        <v>82</v>
      </c>
      <c r="E277">
        <v>81</v>
      </c>
      <c r="F277">
        <v>99</v>
      </c>
      <c r="G277" t="str">
        <f>IF(F277&gt;=50,"Pass","Fail")</f>
        <v>Pass</v>
      </c>
      <c r="H277" t="str" cm="1">
        <f t="array" ref="H277">_xlfn.IFS(F277&gt;=80,"Distinction",F277&gt;=60,"Pass",F277&lt;60,"Fail")</f>
        <v>Distinction</v>
      </c>
      <c r="I277" t="str">
        <f>IF(OR(D277&lt;75,E277&lt;50),"Needs Intervention","Okay")</f>
        <v>Okay</v>
      </c>
    </row>
    <row r="278" spans="1:9" x14ac:dyDescent="0.35">
      <c r="A278" t="s">
        <v>148</v>
      </c>
      <c r="B278" t="s">
        <v>523</v>
      </c>
      <c r="C278" t="s">
        <v>780</v>
      </c>
      <c r="D278">
        <v>88</v>
      </c>
      <c r="E278">
        <v>87</v>
      </c>
      <c r="F278">
        <v>48</v>
      </c>
      <c r="G278" t="str">
        <f>IF(F278&gt;=50,"Pass","Fail")</f>
        <v>Fail</v>
      </c>
      <c r="H278" t="str" cm="1">
        <f t="array" ref="H278">_xlfn.IFS(F278&gt;=80,"Distinction",F278&gt;=60,"Pass",F278&lt;60,"Fail")</f>
        <v>Fail</v>
      </c>
      <c r="I278" t="str">
        <f>IF(OR(D278&lt;75,E278&lt;50),"Needs Intervention","Okay")</f>
        <v>Okay</v>
      </c>
    </row>
    <row r="279" spans="1:9" x14ac:dyDescent="0.35">
      <c r="A279" t="s">
        <v>150</v>
      </c>
      <c r="B279" t="s">
        <v>525</v>
      </c>
      <c r="C279" t="s">
        <v>781</v>
      </c>
      <c r="D279">
        <v>77</v>
      </c>
      <c r="E279">
        <v>98</v>
      </c>
      <c r="F279">
        <v>41</v>
      </c>
      <c r="G279" t="str">
        <f>IF(F279&gt;=50,"Pass","Fail")</f>
        <v>Fail</v>
      </c>
      <c r="H279" t="str" cm="1">
        <f t="array" ref="H279">_xlfn.IFS(F279&gt;=80,"Distinction",F279&gt;=60,"Pass",F279&lt;60,"Fail")</f>
        <v>Fail</v>
      </c>
      <c r="I279" t="str">
        <f>IF(OR(D279&lt;75,E279&lt;50),"Needs Intervention","Okay")</f>
        <v>Okay</v>
      </c>
    </row>
    <row r="280" spans="1:9" x14ac:dyDescent="0.35">
      <c r="A280" t="s">
        <v>155</v>
      </c>
      <c r="B280" t="s">
        <v>530</v>
      </c>
      <c r="C280" t="s">
        <v>781</v>
      </c>
      <c r="D280">
        <v>83</v>
      </c>
      <c r="E280">
        <v>61</v>
      </c>
      <c r="F280">
        <v>67</v>
      </c>
      <c r="G280" t="str">
        <f>IF(F280&gt;=50,"Pass","Fail")</f>
        <v>Pass</v>
      </c>
      <c r="H280" t="str" cm="1">
        <f t="array" ref="H280">_xlfn.IFS(F280&gt;=80,"Distinction",F280&gt;=60,"Pass",F280&lt;60,"Fail")</f>
        <v>Pass</v>
      </c>
      <c r="I280" t="str">
        <f>IF(OR(D280&lt;75,E280&lt;50),"Needs Intervention","Okay")</f>
        <v>Okay</v>
      </c>
    </row>
    <row r="281" spans="1:9" x14ac:dyDescent="0.35">
      <c r="A281" t="s">
        <v>156</v>
      </c>
      <c r="B281" t="s">
        <v>531</v>
      </c>
      <c r="C281" t="s">
        <v>782</v>
      </c>
      <c r="D281">
        <v>82</v>
      </c>
      <c r="E281">
        <v>53</v>
      </c>
      <c r="F281">
        <v>66</v>
      </c>
      <c r="G281" t="str">
        <f>IF(F281&gt;=50,"Pass","Fail")</f>
        <v>Pass</v>
      </c>
      <c r="H281" t="str" cm="1">
        <f t="array" ref="H281">_xlfn.IFS(F281&gt;=80,"Distinction",F281&gt;=60,"Pass",F281&lt;60,"Fail")</f>
        <v>Pass</v>
      </c>
      <c r="I281" t="str">
        <f>IF(OR(D281&lt;75,E281&lt;50),"Needs Intervention","Okay")</f>
        <v>Okay</v>
      </c>
    </row>
    <row r="282" spans="1:9" x14ac:dyDescent="0.35">
      <c r="A282" t="s">
        <v>160</v>
      </c>
      <c r="B282" t="s">
        <v>535</v>
      </c>
      <c r="C282" t="s">
        <v>783</v>
      </c>
      <c r="D282">
        <v>86</v>
      </c>
      <c r="E282">
        <v>62</v>
      </c>
      <c r="F282">
        <v>35</v>
      </c>
      <c r="G282" t="str">
        <f>IF(F282&gt;=50,"Pass","Fail")</f>
        <v>Fail</v>
      </c>
      <c r="H282" t="str" cm="1">
        <f t="array" ref="H282">_xlfn.IFS(F282&gt;=80,"Distinction",F282&gt;=60,"Pass",F282&lt;60,"Fail")</f>
        <v>Fail</v>
      </c>
      <c r="I282" t="str">
        <f>IF(OR(D282&lt;75,E282&lt;50),"Needs Intervention","Okay")</f>
        <v>Okay</v>
      </c>
    </row>
    <row r="283" spans="1:9" x14ac:dyDescent="0.35">
      <c r="A283" t="s">
        <v>161</v>
      </c>
      <c r="B283" t="s">
        <v>536</v>
      </c>
      <c r="C283" t="s">
        <v>782</v>
      </c>
      <c r="D283">
        <v>84</v>
      </c>
      <c r="E283">
        <v>62</v>
      </c>
      <c r="F283">
        <v>79</v>
      </c>
      <c r="G283" t="str">
        <f>IF(F283&gt;=50,"Pass","Fail")</f>
        <v>Pass</v>
      </c>
      <c r="H283" t="str" cm="1">
        <f t="array" ref="H283">_xlfn.IFS(F283&gt;=80,"Distinction",F283&gt;=60,"Pass",F283&lt;60,"Fail")</f>
        <v>Pass</v>
      </c>
      <c r="I283" t="str">
        <f>IF(OR(D283&lt;75,E283&lt;50),"Needs Intervention","Okay")</f>
        <v>Okay</v>
      </c>
    </row>
    <row r="284" spans="1:9" x14ac:dyDescent="0.35">
      <c r="A284" t="s">
        <v>162</v>
      </c>
      <c r="B284" t="s">
        <v>537</v>
      </c>
      <c r="C284" t="s">
        <v>781</v>
      </c>
      <c r="D284">
        <v>93</v>
      </c>
      <c r="E284">
        <v>90</v>
      </c>
      <c r="F284">
        <v>39</v>
      </c>
      <c r="G284" t="str">
        <f>IF(F284&gt;=50,"Pass","Fail")</f>
        <v>Fail</v>
      </c>
      <c r="H284" t="str" cm="1">
        <f t="array" ref="H284">_xlfn.IFS(F284&gt;=80,"Distinction",F284&gt;=60,"Pass",F284&lt;60,"Fail")</f>
        <v>Fail</v>
      </c>
      <c r="I284" t="str">
        <f>IF(OR(D284&lt;75,E284&lt;50),"Needs Intervention","Okay")</f>
        <v>Okay</v>
      </c>
    </row>
    <row r="285" spans="1:9" x14ac:dyDescent="0.35">
      <c r="A285" t="s">
        <v>163</v>
      </c>
      <c r="B285" t="s">
        <v>538</v>
      </c>
      <c r="C285" t="s">
        <v>783</v>
      </c>
      <c r="D285">
        <v>89</v>
      </c>
      <c r="E285">
        <v>80</v>
      </c>
      <c r="F285">
        <v>34</v>
      </c>
      <c r="G285" t="str">
        <f>IF(F285&gt;=50,"Pass","Fail")</f>
        <v>Fail</v>
      </c>
      <c r="H285" t="str" cm="1">
        <f t="array" ref="H285">_xlfn.IFS(F285&gt;=80,"Distinction",F285&gt;=60,"Pass",F285&lt;60,"Fail")</f>
        <v>Fail</v>
      </c>
      <c r="I285" t="str">
        <f>IF(OR(D285&lt;75,E285&lt;50),"Needs Intervention","Okay")</f>
        <v>Okay</v>
      </c>
    </row>
    <row r="286" spans="1:9" x14ac:dyDescent="0.35">
      <c r="A286" t="s">
        <v>166</v>
      </c>
      <c r="B286" t="s">
        <v>541</v>
      </c>
      <c r="C286" t="s">
        <v>784</v>
      </c>
      <c r="D286">
        <v>84</v>
      </c>
      <c r="E286">
        <v>96</v>
      </c>
      <c r="F286">
        <v>73</v>
      </c>
      <c r="G286" t="str">
        <f>IF(F286&gt;=50,"Pass","Fail")</f>
        <v>Pass</v>
      </c>
      <c r="H286" t="str" cm="1">
        <f t="array" ref="H286">_xlfn.IFS(F286&gt;=80,"Distinction",F286&gt;=60,"Pass",F286&lt;60,"Fail")</f>
        <v>Pass</v>
      </c>
      <c r="I286" t="str">
        <f>IF(OR(D286&lt;75,E286&lt;50),"Needs Intervention","Okay")</f>
        <v>Okay</v>
      </c>
    </row>
    <row r="287" spans="1:9" x14ac:dyDescent="0.35">
      <c r="A287" t="s">
        <v>168</v>
      </c>
      <c r="B287" t="s">
        <v>543</v>
      </c>
      <c r="C287" t="s">
        <v>780</v>
      </c>
      <c r="D287">
        <v>84</v>
      </c>
      <c r="E287">
        <v>62</v>
      </c>
      <c r="F287">
        <v>42</v>
      </c>
      <c r="G287" t="str">
        <f>IF(F287&gt;=50,"Pass","Fail")</f>
        <v>Fail</v>
      </c>
      <c r="H287" t="str" cm="1">
        <f t="array" ref="H287">_xlfn.IFS(F287&gt;=80,"Distinction",F287&gt;=60,"Pass",F287&lt;60,"Fail")</f>
        <v>Fail</v>
      </c>
      <c r="I287" t="str">
        <f>IF(OR(D287&lt;75,E287&lt;50),"Needs Intervention","Okay")</f>
        <v>Okay</v>
      </c>
    </row>
    <row r="288" spans="1:9" x14ac:dyDescent="0.35">
      <c r="A288" t="s">
        <v>169</v>
      </c>
      <c r="B288" t="s">
        <v>544</v>
      </c>
      <c r="C288" t="s">
        <v>780</v>
      </c>
      <c r="D288">
        <v>86</v>
      </c>
      <c r="E288">
        <v>69</v>
      </c>
      <c r="F288">
        <v>69</v>
      </c>
      <c r="G288" t="str">
        <f>IF(F288&gt;=50,"Pass","Fail")</f>
        <v>Pass</v>
      </c>
      <c r="H288" t="str" cm="1">
        <f t="array" ref="H288">_xlfn.IFS(F288&gt;=80,"Distinction",F288&gt;=60,"Pass",F288&lt;60,"Fail")</f>
        <v>Pass</v>
      </c>
      <c r="I288" t="str">
        <f>IF(OR(D288&lt;75,E288&lt;50),"Needs Intervention","Okay")</f>
        <v>Okay</v>
      </c>
    </row>
    <row r="289" spans="1:9" x14ac:dyDescent="0.35">
      <c r="A289" t="s">
        <v>170</v>
      </c>
      <c r="B289" t="s">
        <v>545</v>
      </c>
      <c r="C289" t="s">
        <v>781</v>
      </c>
      <c r="D289">
        <v>96</v>
      </c>
      <c r="E289">
        <v>72</v>
      </c>
      <c r="F289">
        <v>31</v>
      </c>
      <c r="G289" t="str">
        <f>IF(F289&gt;=50,"Pass","Fail")</f>
        <v>Fail</v>
      </c>
      <c r="H289" t="str" cm="1">
        <f t="array" ref="H289">_xlfn.IFS(F289&gt;=80,"Distinction",F289&gt;=60,"Pass",F289&lt;60,"Fail")</f>
        <v>Fail</v>
      </c>
      <c r="I289" t="str">
        <f>IF(OR(D289&lt;75,E289&lt;50),"Needs Intervention","Okay")</f>
        <v>Okay</v>
      </c>
    </row>
    <row r="290" spans="1:9" x14ac:dyDescent="0.35">
      <c r="A290" t="s">
        <v>175</v>
      </c>
      <c r="B290" t="s">
        <v>550</v>
      </c>
      <c r="C290" t="s">
        <v>784</v>
      </c>
      <c r="D290">
        <v>75</v>
      </c>
      <c r="E290">
        <v>75</v>
      </c>
      <c r="F290">
        <v>44</v>
      </c>
      <c r="G290" t="str">
        <f>IF(F290&gt;=50,"Pass","Fail")</f>
        <v>Fail</v>
      </c>
      <c r="H290" t="str" cm="1">
        <f t="array" ref="H290">_xlfn.IFS(F290&gt;=80,"Distinction",F290&gt;=60,"Pass",F290&lt;60,"Fail")</f>
        <v>Fail</v>
      </c>
      <c r="I290" t="str">
        <f>IF(OR(D290&lt;75,E290&lt;50),"Needs Intervention","Okay")</f>
        <v>Okay</v>
      </c>
    </row>
    <row r="291" spans="1:9" x14ac:dyDescent="0.35">
      <c r="A291" t="s">
        <v>177</v>
      </c>
      <c r="B291" t="s">
        <v>552</v>
      </c>
      <c r="C291" t="s">
        <v>784</v>
      </c>
      <c r="D291">
        <v>88</v>
      </c>
      <c r="E291">
        <v>64</v>
      </c>
      <c r="F291">
        <v>67</v>
      </c>
      <c r="G291" t="str">
        <f>IF(F291&gt;=50,"Pass","Fail")</f>
        <v>Pass</v>
      </c>
      <c r="H291" t="str" cm="1">
        <f t="array" ref="H291">_xlfn.IFS(F291&gt;=80,"Distinction",F291&gt;=60,"Pass",F291&lt;60,"Fail")</f>
        <v>Pass</v>
      </c>
      <c r="I291" t="str">
        <f>IF(OR(D291&lt;75,E291&lt;50),"Needs Intervention","Okay")</f>
        <v>Okay</v>
      </c>
    </row>
    <row r="292" spans="1:9" x14ac:dyDescent="0.35">
      <c r="A292" t="s">
        <v>182</v>
      </c>
      <c r="B292" t="s">
        <v>557</v>
      </c>
      <c r="C292" t="s">
        <v>780</v>
      </c>
      <c r="D292">
        <v>75</v>
      </c>
      <c r="E292">
        <v>97</v>
      </c>
      <c r="F292">
        <v>89</v>
      </c>
      <c r="G292" t="str">
        <f>IF(F292&gt;=50,"Pass","Fail")</f>
        <v>Pass</v>
      </c>
      <c r="H292" t="str" cm="1">
        <f t="array" ref="H292">_xlfn.IFS(F292&gt;=80,"Distinction",F292&gt;=60,"Pass",F292&lt;60,"Fail")</f>
        <v>Distinction</v>
      </c>
      <c r="I292" t="str">
        <f>IF(OR(D292&lt;75,E292&lt;50),"Needs Intervention","Okay")</f>
        <v>Okay</v>
      </c>
    </row>
    <row r="293" spans="1:9" x14ac:dyDescent="0.35">
      <c r="A293" t="s">
        <v>183</v>
      </c>
      <c r="B293" t="s">
        <v>558</v>
      </c>
      <c r="C293" t="s">
        <v>784</v>
      </c>
      <c r="D293">
        <v>91</v>
      </c>
      <c r="E293">
        <v>87</v>
      </c>
      <c r="F293">
        <v>79</v>
      </c>
      <c r="G293" t="str">
        <f>IF(F293&gt;=50,"Pass","Fail")</f>
        <v>Pass</v>
      </c>
      <c r="H293" t="str" cm="1">
        <f t="array" ref="H293">_xlfn.IFS(F293&gt;=80,"Distinction",F293&gt;=60,"Pass",F293&lt;60,"Fail")</f>
        <v>Pass</v>
      </c>
      <c r="I293" t="str">
        <f>IF(OR(D293&lt;75,E293&lt;50),"Needs Intervention","Okay")</f>
        <v>Okay</v>
      </c>
    </row>
    <row r="294" spans="1:9" x14ac:dyDescent="0.35">
      <c r="A294" t="s">
        <v>185</v>
      </c>
      <c r="B294" t="s">
        <v>560</v>
      </c>
      <c r="C294" t="s">
        <v>781</v>
      </c>
      <c r="D294">
        <v>100</v>
      </c>
      <c r="E294">
        <v>65</v>
      </c>
      <c r="F294">
        <v>63</v>
      </c>
      <c r="G294" t="str">
        <f>IF(F294&gt;=50,"Pass","Fail")</f>
        <v>Pass</v>
      </c>
      <c r="H294" t="str" cm="1">
        <f t="array" ref="H294">_xlfn.IFS(F294&gt;=80,"Distinction",F294&gt;=60,"Pass",F294&lt;60,"Fail")</f>
        <v>Pass</v>
      </c>
      <c r="I294" t="str">
        <f>IF(OR(D294&lt;75,E294&lt;50),"Needs Intervention","Okay")</f>
        <v>Okay</v>
      </c>
    </row>
    <row r="295" spans="1:9" x14ac:dyDescent="0.35">
      <c r="A295" t="s">
        <v>186</v>
      </c>
      <c r="B295" t="s">
        <v>561</v>
      </c>
      <c r="C295" t="s">
        <v>782</v>
      </c>
      <c r="D295">
        <v>81</v>
      </c>
      <c r="E295">
        <v>50</v>
      </c>
      <c r="F295">
        <v>64</v>
      </c>
      <c r="G295" t="str">
        <f>IF(F295&gt;=50,"Pass","Fail")</f>
        <v>Pass</v>
      </c>
      <c r="H295" t="str" cm="1">
        <f t="array" ref="H295">_xlfn.IFS(F295&gt;=80,"Distinction",F295&gt;=60,"Pass",F295&lt;60,"Fail")</f>
        <v>Pass</v>
      </c>
      <c r="I295" t="str">
        <f>IF(OR(D295&lt;75,E295&lt;50),"Needs Intervention","Okay")</f>
        <v>Okay</v>
      </c>
    </row>
    <row r="296" spans="1:9" x14ac:dyDescent="0.35">
      <c r="A296" t="s">
        <v>187</v>
      </c>
      <c r="B296" t="s">
        <v>562</v>
      </c>
      <c r="C296" t="s">
        <v>782</v>
      </c>
      <c r="D296">
        <v>88</v>
      </c>
      <c r="E296">
        <v>65</v>
      </c>
      <c r="F296">
        <v>30</v>
      </c>
      <c r="G296" t="str">
        <f>IF(F296&gt;=50,"Pass","Fail")</f>
        <v>Fail</v>
      </c>
      <c r="H296" t="str" cm="1">
        <f t="array" ref="H296">_xlfn.IFS(F296&gt;=80,"Distinction",F296&gt;=60,"Pass",F296&lt;60,"Fail")</f>
        <v>Fail</v>
      </c>
      <c r="I296" t="str">
        <f>IF(OR(D296&lt;75,E296&lt;50),"Needs Intervention","Okay")</f>
        <v>Okay</v>
      </c>
    </row>
    <row r="297" spans="1:9" x14ac:dyDescent="0.35">
      <c r="A297" t="s">
        <v>189</v>
      </c>
      <c r="B297" t="s">
        <v>564</v>
      </c>
      <c r="C297" t="s">
        <v>782</v>
      </c>
      <c r="D297">
        <v>81</v>
      </c>
      <c r="E297">
        <v>53</v>
      </c>
      <c r="F297">
        <v>93</v>
      </c>
      <c r="G297" t="str">
        <f>IF(F297&gt;=50,"Pass","Fail")</f>
        <v>Pass</v>
      </c>
      <c r="H297" t="str" cm="1">
        <f t="array" ref="H297">_xlfn.IFS(F297&gt;=80,"Distinction",F297&gt;=60,"Pass",F297&lt;60,"Fail")</f>
        <v>Distinction</v>
      </c>
      <c r="I297" t="str">
        <f>IF(OR(D297&lt;75,E297&lt;50),"Needs Intervention","Okay")</f>
        <v>Okay</v>
      </c>
    </row>
    <row r="298" spans="1:9" x14ac:dyDescent="0.35">
      <c r="A298" t="s">
        <v>191</v>
      </c>
      <c r="B298" t="s">
        <v>566</v>
      </c>
      <c r="C298" t="s">
        <v>781</v>
      </c>
      <c r="D298">
        <v>79</v>
      </c>
      <c r="E298">
        <v>78</v>
      </c>
      <c r="F298">
        <v>89</v>
      </c>
      <c r="G298" t="str">
        <f>IF(F298&gt;=50,"Pass","Fail")</f>
        <v>Pass</v>
      </c>
      <c r="H298" t="str" cm="1">
        <f t="array" ref="H298">_xlfn.IFS(F298&gt;=80,"Distinction",F298&gt;=60,"Pass",F298&lt;60,"Fail")</f>
        <v>Distinction</v>
      </c>
      <c r="I298" t="str">
        <f>IF(OR(D298&lt;75,E298&lt;50),"Needs Intervention","Okay")</f>
        <v>Okay</v>
      </c>
    </row>
    <row r="299" spans="1:9" x14ac:dyDescent="0.35">
      <c r="A299" t="s">
        <v>192</v>
      </c>
      <c r="B299" t="s">
        <v>567</v>
      </c>
      <c r="C299" t="s">
        <v>780</v>
      </c>
      <c r="D299">
        <v>86</v>
      </c>
      <c r="E299">
        <v>65</v>
      </c>
      <c r="F299">
        <v>93</v>
      </c>
      <c r="G299" t="str">
        <f>IF(F299&gt;=50,"Pass","Fail")</f>
        <v>Pass</v>
      </c>
      <c r="H299" t="str" cm="1">
        <f t="array" ref="H299">_xlfn.IFS(F299&gt;=80,"Distinction",F299&gt;=60,"Pass",F299&lt;60,"Fail")</f>
        <v>Distinction</v>
      </c>
      <c r="I299" t="str">
        <f>IF(OR(D299&lt;75,E299&lt;50),"Needs Intervention","Okay")</f>
        <v>Okay</v>
      </c>
    </row>
    <row r="300" spans="1:9" x14ac:dyDescent="0.35">
      <c r="A300" t="s">
        <v>194</v>
      </c>
      <c r="B300" t="s">
        <v>569</v>
      </c>
      <c r="C300" t="s">
        <v>783</v>
      </c>
      <c r="D300">
        <v>88</v>
      </c>
      <c r="E300">
        <v>52</v>
      </c>
      <c r="F300">
        <v>43</v>
      </c>
      <c r="G300" t="str">
        <f>IF(F300&gt;=50,"Pass","Fail")</f>
        <v>Fail</v>
      </c>
      <c r="H300" t="str" cm="1">
        <f t="array" ref="H300">_xlfn.IFS(F300&gt;=80,"Distinction",F300&gt;=60,"Pass",F300&lt;60,"Fail")</f>
        <v>Fail</v>
      </c>
      <c r="I300" t="str">
        <f>IF(OR(D300&lt;75,E300&lt;50),"Needs Intervention","Okay")</f>
        <v>Okay</v>
      </c>
    </row>
    <row r="301" spans="1:9" x14ac:dyDescent="0.35">
      <c r="A301" t="s">
        <v>195</v>
      </c>
      <c r="B301" t="s">
        <v>570</v>
      </c>
      <c r="C301" t="s">
        <v>783</v>
      </c>
      <c r="D301">
        <v>94</v>
      </c>
      <c r="E301">
        <v>91</v>
      </c>
      <c r="F301">
        <v>89</v>
      </c>
      <c r="G301" t="str">
        <f>IF(F301&gt;=50,"Pass","Fail")</f>
        <v>Pass</v>
      </c>
      <c r="H301" t="str" cm="1">
        <f t="array" ref="H301">_xlfn.IFS(F301&gt;=80,"Distinction",F301&gt;=60,"Pass",F301&lt;60,"Fail")</f>
        <v>Distinction</v>
      </c>
      <c r="I301" t="str">
        <f>IF(OR(D301&lt;75,E301&lt;50),"Needs Intervention","Okay")</f>
        <v>Okay</v>
      </c>
    </row>
    <row r="302" spans="1:9" x14ac:dyDescent="0.35">
      <c r="A302" t="s">
        <v>198</v>
      </c>
      <c r="B302" t="s">
        <v>573</v>
      </c>
      <c r="C302" t="s">
        <v>780</v>
      </c>
      <c r="D302">
        <v>78</v>
      </c>
      <c r="E302">
        <v>84</v>
      </c>
      <c r="F302">
        <v>66</v>
      </c>
      <c r="G302" t="str">
        <f>IF(F302&gt;=50,"Pass","Fail")</f>
        <v>Pass</v>
      </c>
      <c r="H302" t="str" cm="1">
        <f t="array" ref="H302">_xlfn.IFS(F302&gt;=80,"Distinction",F302&gt;=60,"Pass",F302&lt;60,"Fail")</f>
        <v>Pass</v>
      </c>
      <c r="I302" t="str">
        <f>IF(OR(D302&lt;75,E302&lt;50),"Needs Intervention","Okay")</f>
        <v>Okay</v>
      </c>
    </row>
    <row r="303" spans="1:9" x14ac:dyDescent="0.35">
      <c r="A303" t="s">
        <v>201</v>
      </c>
      <c r="B303" t="s">
        <v>576</v>
      </c>
      <c r="C303" t="s">
        <v>783</v>
      </c>
      <c r="D303">
        <v>81</v>
      </c>
      <c r="E303">
        <v>59</v>
      </c>
      <c r="F303">
        <v>91</v>
      </c>
      <c r="G303" t="str">
        <f>IF(F303&gt;=50,"Pass","Fail")</f>
        <v>Pass</v>
      </c>
      <c r="H303" t="str" cm="1">
        <f t="array" ref="H303">_xlfn.IFS(F303&gt;=80,"Distinction",F303&gt;=60,"Pass",F303&lt;60,"Fail")</f>
        <v>Distinction</v>
      </c>
      <c r="I303" t="str">
        <f>IF(OR(D303&lt;75,E303&lt;50),"Needs Intervention","Okay")</f>
        <v>Okay</v>
      </c>
    </row>
    <row r="304" spans="1:9" x14ac:dyDescent="0.35">
      <c r="A304" t="s">
        <v>203</v>
      </c>
      <c r="B304" t="s">
        <v>578</v>
      </c>
      <c r="C304" t="s">
        <v>784</v>
      </c>
      <c r="D304">
        <v>100</v>
      </c>
      <c r="E304">
        <v>91</v>
      </c>
      <c r="F304">
        <v>71</v>
      </c>
      <c r="G304" t="str">
        <f>IF(F304&gt;=50,"Pass","Fail")</f>
        <v>Pass</v>
      </c>
      <c r="H304" t="str" cm="1">
        <f t="array" ref="H304">_xlfn.IFS(F304&gt;=80,"Distinction",F304&gt;=60,"Pass",F304&lt;60,"Fail")</f>
        <v>Pass</v>
      </c>
      <c r="I304" t="str">
        <f>IF(OR(D304&lt;75,E304&lt;50),"Needs Intervention","Okay")</f>
        <v>Okay</v>
      </c>
    </row>
    <row r="305" spans="1:9" x14ac:dyDescent="0.35">
      <c r="A305" t="s">
        <v>205</v>
      </c>
      <c r="B305" t="s">
        <v>580</v>
      </c>
      <c r="C305" t="s">
        <v>783</v>
      </c>
      <c r="D305">
        <v>77</v>
      </c>
      <c r="E305">
        <v>88</v>
      </c>
      <c r="F305">
        <v>69</v>
      </c>
      <c r="G305" t="str">
        <f>IF(F305&gt;=50,"Pass","Fail")</f>
        <v>Pass</v>
      </c>
      <c r="H305" t="str" cm="1">
        <f t="array" ref="H305">_xlfn.IFS(F305&gt;=80,"Distinction",F305&gt;=60,"Pass",F305&lt;60,"Fail")</f>
        <v>Pass</v>
      </c>
      <c r="I305" t="str">
        <f>IF(OR(D305&lt;75,E305&lt;50),"Needs Intervention","Okay")</f>
        <v>Okay</v>
      </c>
    </row>
    <row r="306" spans="1:9" x14ac:dyDescent="0.35">
      <c r="A306" t="s">
        <v>207</v>
      </c>
      <c r="B306" t="s">
        <v>582</v>
      </c>
      <c r="C306" t="s">
        <v>781</v>
      </c>
      <c r="D306">
        <v>91</v>
      </c>
      <c r="E306">
        <v>78</v>
      </c>
      <c r="F306">
        <v>43</v>
      </c>
      <c r="G306" t="str">
        <f>IF(F306&gt;=50,"Pass","Fail")</f>
        <v>Fail</v>
      </c>
      <c r="H306" t="str" cm="1">
        <f t="array" ref="H306">_xlfn.IFS(F306&gt;=80,"Distinction",F306&gt;=60,"Pass",F306&lt;60,"Fail")</f>
        <v>Fail</v>
      </c>
      <c r="I306" t="str">
        <f>IF(OR(D306&lt;75,E306&lt;50),"Needs Intervention","Okay")</f>
        <v>Okay</v>
      </c>
    </row>
    <row r="307" spans="1:9" x14ac:dyDescent="0.35">
      <c r="A307" t="s">
        <v>212</v>
      </c>
      <c r="B307" t="s">
        <v>587</v>
      </c>
      <c r="C307" t="s">
        <v>780</v>
      </c>
      <c r="D307">
        <v>93</v>
      </c>
      <c r="E307">
        <v>100</v>
      </c>
      <c r="F307">
        <v>92</v>
      </c>
      <c r="G307" t="str">
        <f>IF(F307&gt;=50,"Pass","Fail")</f>
        <v>Pass</v>
      </c>
      <c r="H307" t="str" cm="1">
        <f t="array" ref="H307">_xlfn.IFS(F307&gt;=80,"Distinction",F307&gt;=60,"Pass",F307&lt;60,"Fail")</f>
        <v>Distinction</v>
      </c>
      <c r="I307" t="str">
        <f>IF(OR(D307&lt;75,E307&lt;50),"Needs Intervention","Okay")</f>
        <v>Okay</v>
      </c>
    </row>
    <row r="308" spans="1:9" x14ac:dyDescent="0.35">
      <c r="A308" t="s">
        <v>213</v>
      </c>
      <c r="B308" t="s">
        <v>588</v>
      </c>
      <c r="C308" t="s">
        <v>783</v>
      </c>
      <c r="D308">
        <v>93</v>
      </c>
      <c r="E308">
        <v>57</v>
      </c>
      <c r="F308">
        <v>44</v>
      </c>
      <c r="G308" t="str">
        <f>IF(F308&gt;=50,"Pass","Fail")</f>
        <v>Fail</v>
      </c>
      <c r="H308" t="str" cm="1">
        <f t="array" ref="H308">_xlfn.IFS(F308&gt;=80,"Distinction",F308&gt;=60,"Pass",F308&lt;60,"Fail")</f>
        <v>Fail</v>
      </c>
      <c r="I308" t="str">
        <f>IF(OR(D308&lt;75,E308&lt;50),"Needs Intervention","Okay")</f>
        <v>Okay</v>
      </c>
    </row>
    <row r="309" spans="1:9" x14ac:dyDescent="0.35">
      <c r="A309" t="s">
        <v>219</v>
      </c>
      <c r="B309" t="s">
        <v>594</v>
      </c>
      <c r="C309" t="s">
        <v>781</v>
      </c>
      <c r="D309">
        <v>88</v>
      </c>
      <c r="E309">
        <v>81</v>
      </c>
      <c r="F309">
        <v>68</v>
      </c>
      <c r="G309" t="str">
        <f>IF(F309&gt;=50,"Pass","Fail")</f>
        <v>Pass</v>
      </c>
      <c r="H309" t="str" cm="1">
        <f t="array" ref="H309">_xlfn.IFS(F309&gt;=80,"Distinction",F309&gt;=60,"Pass",F309&lt;60,"Fail")</f>
        <v>Pass</v>
      </c>
      <c r="I309" t="str">
        <f>IF(OR(D309&lt;75,E309&lt;50),"Needs Intervention","Okay")</f>
        <v>Okay</v>
      </c>
    </row>
    <row r="310" spans="1:9" x14ac:dyDescent="0.35">
      <c r="A310" t="s">
        <v>220</v>
      </c>
      <c r="B310" t="s">
        <v>595</v>
      </c>
      <c r="C310" t="s">
        <v>784</v>
      </c>
      <c r="D310">
        <v>82</v>
      </c>
      <c r="E310">
        <v>82</v>
      </c>
      <c r="F310">
        <v>80</v>
      </c>
      <c r="G310" t="str">
        <f>IF(F310&gt;=50,"Pass","Fail")</f>
        <v>Pass</v>
      </c>
      <c r="H310" t="str" cm="1">
        <f t="array" ref="H310">_xlfn.IFS(F310&gt;=80,"Distinction",F310&gt;=60,"Pass",F310&lt;60,"Fail")</f>
        <v>Distinction</v>
      </c>
      <c r="I310" t="str">
        <f>IF(OR(D310&lt;75,E310&lt;50),"Needs Intervention","Okay")</f>
        <v>Okay</v>
      </c>
    </row>
    <row r="311" spans="1:9" x14ac:dyDescent="0.35">
      <c r="A311" t="s">
        <v>224</v>
      </c>
      <c r="B311" t="s">
        <v>599</v>
      </c>
      <c r="C311" t="s">
        <v>783</v>
      </c>
      <c r="D311">
        <v>90</v>
      </c>
      <c r="E311">
        <v>68</v>
      </c>
      <c r="F311">
        <v>36</v>
      </c>
      <c r="G311" t="str">
        <f>IF(F311&gt;=50,"Pass","Fail")</f>
        <v>Fail</v>
      </c>
      <c r="H311" t="str" cm="1">
        <f t="array" ref="H311">_xlfn.IFS(F311&gt;=80,"Distinction",F311&gt;=60,"Pass",F311&lt;60,"Fail")</f>
        <v>Fail</v>
      </c>
      <c r="I311" t="str">
        <f>IF(OR(D311&lt;75,E311&lt;50),"Needs Intervention","Okay")</f>
        <v>Okay</v>
      </c>
    </row>
    <row r="312" spans="1:9" x14ac:dyDescent="0.35">
      <c r="A312" t="s">
        <v>226</v>
      </c>
      <c r="B312" t="s">
        <v>601</v>
      </c>
      <c r="C312" t="s">
        <v>783</v>
      </c>
      <c r="D312">
        <v>88</v>
      </c>
      <c r="E312">
        <v>71</v>
      </c>
      <c r="F312">
        <v>71</v>
      </c>
      <c r="G312" t="str">
        <f>IF(F312&gt;=50,"Pass","Fail")</f>
        <v>Pass</v>
      </c>
      <c r="H312" t="str" cm="1">
        <f t="array" ref="H312">_xlfn.IFS(F312&gt;=80,"Distinction",F312&gt;=60,"Pass",F312&lt;60,"Fail")</f>
        <v>Pass</v>
      </c>
      <c r="I312" t="str">
        <f>IF(OR(D312&lt;75,E312&lt;50),"Needs Intervention","Okay")</f>
        <v>Okay</v>
      </c>
    </row>
    <row r="313" spans="1:9" x14ac:dyDescent="0.35">
      <c r="A313" t="s">
        <v>231</v>
      </c>
      <c r="B313" t="s">
        <v>606</v>
      </c>
      <c r="C313" t="s">
        <v>783</v>
      </c>
      <c r="D313">
        <v>86</v>
      </c>
      <c r="E313">
        <v>64</v>
      </c>
      <c r="F313">
        <v>56</v>
      </c>
      <c r="G313" t="str">
        <f>IF(F313&gt;=50,"Pass","Fail")</f>
        <v>Pass</v>
      </c>
      <c r="H313" t="str" cm="1">
        <f t="array" ref="H313">_xlfn.IFS(F313&gt;=80,"Distinction",F313&gt;=60,"Pass",F313&lt;60,"Fail")</f>
        <v>Fail</v>
      </c>
      <c r="I313" t="str">
        <f>IF(OR(D313&lt;75,E313&lt;50),"Needs Intervention","Okay")</f>
        <v>Okay</v>
      </c>
    </row>
    <row r="314" spans="1:9" x14ac:dyDescent="0.35">
      <c r="A314" t="s">
        <v>234</v>
      </c>
      <c r="B314" t="s">
        <v>609</v>
      </c>
      <c r="C314" t="s">
        <v>781</v>
      </c>
      <c r="D314">
        <v>91</v>
      </c>
      <c r="E314">
        <v>87</v>
      </c>
      <c r="F314">
        <v>67</v>
      </c>
      <c r="G314" t="str">
        <f>IF(F314&gt;=50,"Pass","Fail")</f>
        <v>Pass</v>
      </c>
      <c r="H314" t="str" cm="1">
        <f t="array" ref="H314">_xlfn.IFS(F314&gt;=80,"Distinction",F314&gt;=60,"Pass",F314&lt;60,"Fail")</f>
        <v>Pass</v>
      </c>
      <c r="I314" t="str">
        <f>IF(OR(D314&lt;75,E314&lt;50),"Needs Intervention","Okay")</f>
        <v>Okay</v>
      </c>
    </row>
    <row r="315" spans="1:9" x14ac:dyDescent="0.35">
      <c r="A315" t="s">
        <v>239</v>
      </c>
      <c r="B315" t="s">
        <v>614</v>
      </c>
      <c r="C315" t="s">
        <v>782</v>
      </c>
      <c r="D315">
        <v>81</v>
      </c>
      <c r="E315">
        <v>69</v>
      </c>
      <c r="F315">
        <v>97</v>
      </c>
      <c r="G315" t="str">
        <f>IF(F315&gt;=50,"Pass","Fail")</f>
        <v>Pass</v>
      </c>
      <c r="H315" t="str" cm="1">
        <f t="array" ref="H315">_xlfn.IFS(F315&gt;=80,"Distinction",F315&gt;=60,"Pass",F315&lt;60,"Fail")</f>
        <v>Distinction</v>
      </c>
      <c r="I315" t="str">
        <f>IF(OR(D315&lt;75,E315&lt;50),"Needs Intervention","Okay")</f>
        <v>Okay</v>
      </c>
    </row>
    <row r="316" spans="1:9" x14ac:dyDescent="0.35">
      <c r="A316" t="s">
        <v>242</v>
      </c>
      <c r="B316" t="s">
        <v>617</v>
      </c>
      <c r="C316" t="s">
        <v>780</v>
      </c>
      <c r="D316">
        <v>98</v>
      </c>
      <c r="E316">
        <v>79</v>
      </c>
      <c r="F316">
        <v>34</v>
      </c>
      <c r="G316" t="str">
        <f>IF(F316&gt;=50,"Pass","Fail")</f>
        <v>Fail</v>
      </c>
      <c r="H316" t="str" cm="1">
        <f t="array" ref="H316">_xlfn.IFS(F316&gt;=80,"Distinction",F316&gt;=60,"Pass",F316&lt;60,"Fail")</f>
        <v>Fail</v>
      </c>
      <c r="I316" t="str">
        <f>IF(OR(D316&lt;75,E316&lt;50),"Needs Intervention","Okay")</f>
        <v>Okay</v>
      </c>
    </row>
    <row r="317" spans="1:9" x14ac:dyDescent="0.35">
      <c r="A317" t="s">
        <v>243</v>
      </c>
      <c r="B317" t="s">
        <v>618</v>
      </c>
      <c r="C317" t="s">
        <v>784</v>
      </c>
      <c r="D317">
        <v>98</v>
      </c>
      <c r="E317">
        <v>56</v>
      </c>
      <c r="F317">
        <v>67</v>
      </c>
      <c r="G317" t="str">
        <f>IF(F317&gt;=50,"Pass","Fail")</f>
        <v>Pass</v>
      </c>
      <c r="H317" t="str" cm="1">
        <f t="array" ref="H317">_xlfn.IFS(F317&gt;=80,"Distinction",F317&gt;=60,"Pass",F317&lt;60,"Fail")</f>
        <v>Pass</v>
      </c>
      <c r="I317" t="str">
        <f>IF(OR(D317&lt;75,E317&lt;50),"Needs Intervention","Okay")</f>
        <v>Okay</v>
      </c>
    </row>
    <row r="318" spans="1:9" x14ac:dyDescent="0.35">
      <c r="A318" t="s">
        <v>248</v>
      </c>
      <c r="B318" t="s">
        <v>623</v>
      </c>
      <c r="C318" t="s">
        <v>780</v>
      </c>
      <c r="D318">
        <v>98</v>
      </c>
      <c r="E318">
        <v>67</v>
      </c>
      <c r="F318">
        <v>85</v>
      </c>
      <c r="G318" t="str">
        <f>IF(F318&gt;=50,"Pass","Fail")</f>
        <v>Pass</v>
      </c>
      <c r="H318" t="str" cm="1">
        <f t="array" ref="H318">_xlfn.IFS(F318&gt;=80,"Distinction",F318&gt;=60,"Pass",F318&lt;60,"Fail")</f>
        <v>Distinction</v>
      </c>
      <c r="I318" t="str">
        <f>IF(OR(D318&lt;75,E318&lt;50),"Needs Intervention","Okay")</f>
        <v>Okay</v>
      </c>
    </row>
    <row r="319" spans="1:9" x14ac:dyDescent="0.35">
      <c r="A319" t="s">
        <v>250</v>
      </c>
      <c r="B319" t="s">
        <v>625</v>
      </c>
      <c r="C319" t="s">
        <v>782</v>
      </c>
      <c r="D319">
        <v>98</v>
      </c>
      <c r="E319">
        <v>94</v>
      </c>
      <c r="F319">
        <v>58</v>
      </c>
      <c r="G319" t="str">
        <f>IF(F319&gt;=50,"Pass","Fail")</f>
        <v>Pass</v>
      </c>
      <c r="H319" t="str" cm="1">
        <f t="array" ref="H319">_xlfn.IFS(F319&gt;=80,"Distinction",F319&gt;=60,"Pass",F319&lt;60,"Fail")</f>
        <v>Fail</v>
      </c>
      <c r="I319" t="str">
        <f>IF(OR(D319&lt;75,E319&lt;50),"Needs Intervention","Okay")</f>
        <v>Okay</v>
      </c>
    </row>
    <row r="320" spans="1:9" x14ac:dyDescent="0.35">
      <c r="A320" t="s">
        <v>252</v>
      </c>
      <c r="B320" t="s">
        <v>627</v>
      </c>
      <c r="C320" t="s">
        <v>784</v>
      </c>
      <c r="D320">
        <v>98</v>
      </c>
      <c r="E320">
        <v>100</v>
      </c>
      <c r="F320">
        <v>34</v>
      </c>
      <c r="G320" t="str">
        <f>IF(F320&gt;=50,"Pass","Fail")</f>
        <v>Fail</v>
      </c>
      <c r="H320" t="str" cm="1">
        <f t="array" ref="H320">_xlfn.IFS(F320&gt;=80,"Distinction",F320&gt;=60,"Pass",F320&lt;60,"Fail")</f>
        <v>Fail</v>
      </c>
      <c r="I320" t="str">
        <f>IF(OR(D320&lt;75,E320&lt;50),"Needs Intervention","Okay")</f>
        <v>Okay</v>
      </c>
    </row>
    <row r="321" spans="1:9" x14ac:dyDescent="0.35">
      <c r="A321" t="s">
        <v>255</v>
      </c>
      <c r="B321" t="s">
        <v>630</v>
      </c>
      <c r="C321" t="s">
        <v>781</v>
      </c>
      <c r="D321">
        <v>77</v>
      </c>
      <c r="E321">
        <v>65</v>
      </c>
      <c r="F321">
        <v>97</v>
      </c>
      <c r="G321" t="str">
        <f>IF(F321&gt;=50,"Pass","Fail")</f>
        <v>Pass</v>
      </c>
      <c r="H321" t="str" cm="1">
        <f t="array" ref="H321">_xlfn.IFS(F321&gt;=80,"Distinction",F321&gt;=60,"Pass",F321&lt;60,"Fail")</f>
        <v>Distinction</v>
      </c>
      <c r="I321" t="str">
        <f>IF(OR(D321&lt;75,E321&lt;50),"Needs Intervention","Okay")</f>
        <v>Okay</v>
      </c>
    </row>
    <row r="322" spans="1:9" x14ac:dyDescent="0.35">
      <c r="A322" t="s">
        <v>257</v>
      </c>
      <c r="B322" t="s">
        <v>632</v>
      </c>
      <c r="C322" t="s">
        <v>784</v>
      </c>
      <c r="D322">
        <v>86</v>
      </c>
      <c r="E322">
        <v>60</v>
      </c>
      <c r="F322">
        <v>31</v>
      </c>
      <c r="G322" t="str">
        <f>IF(F322&gt;=50,"Pass","Fail")</f>
        <v>Fail</v>
      </c>
      <c r="H322" t="str" cm="1">
        <f t="array" ref="H322">_xlfn.IFS(F322&gt;=80,"Distinction",F322&gt;=60,"Pass",F322&lt;60,"Fail")</f>
        <v>Fail</v>
      </c>
      <c r="I322" t="str">
        <f>IF(OR(D322&lt;75,E322&lt;50),"Needs Intervention","Okay")</f>
        <v>Okay</v>
      </c>
    </row>
    <row r="323" spans="1:9" x14ac:dyDescent="0.35">
      <c r="A323" t="s">
        <v>259</v>
      </c>
      <c r="B323" t="s">
        <v>634</v>
      </c>
      <c r="C323" t="s">
        <v>781</v>
      </c>
      <c r="D323">
        <v>82</v>
      </c>
      <c r="E323">
        <v>90</v>
      </c>
      <c r="F323">
        <v>65</v>
      </c>
      <c r="G323" t="str">
        <f>IF(F323&gt;=50,"Pass","Fail")</f>
        <v>Pass</v>
      </c>
      <c r="H323" t="str" cm="1">
        <f t="array" ref="H323">_xlfn.IFS(F323&gt;=80,"Distinction",F323&gt;=60,"Pass",F323&lt;60,"Fail")</f>
        <v>Pass</v>
      </c>
      <c r="I323" t="str">
        <f>IF(OR(D323&lt;75,E323&lt;50),"Needs Intervention","Okay")</f>
        <v>Okay</v>
      </c>
    </row>
    <row r="324" spans="1:9" x14ac:dyDescent="0.35">
      <c r="A324" t="s">
        <v>263</v>
      </c>
      <c r="B324" t="s">
        <v>638</v>
      </c>
      <c r="C324" t="s">
        <v>784</v>
      </c>
      <c r="D324">
        <v>93</v>
      </c>
      <c r="E324">
        <v>68</v>
      </c>
      <c r="F324">
        <v>56</v>
      </c>
      <c r="G324" t="str">
        <f>IF(F324&gt;=50,"Pass","Fail")</f>
        <v>Pass</v>
      </c>
      <c r="H324" t="str" cm="1">
        <f t="array" ref="H324">_xlfn.IFS(F324&gt;=80,"Distinction",F324&gt;=60,"Pass",F324&lt;60,"Fail")</f>
        <v>Fail</v>
      </c>
      <c r="I324" t="str">
        <f>IF(OR(D324&lt;75,E324&lt;50),"Needs Intervention","Okay")</f>
        <v>Okay</v>
      </c>
    </row>
    <row r="325" spans="1:9" x14ac:dyDescent="0.35">
      <c r="A325" t="s">
        <v>264</v>
      </c>
      <c r="B325" t="s">
        <v>639</v>
      </c>
      <c r="C325" t="s">
        <v>780</v>
      </c>
      <c r="D325">
        <v>75</v>
      </c>
      <c r="E325">
        <v>96</v>
      </c>
      <c r="F325">
        <v>98</v>
      </c>
      <c r="G325" t="str">
        <f>IF(F325&gt;=50,"Pass","Fail")</f>
        <v>Pass</v>
      </c>
      <c r="H325" t="str" cm="1">
        <f t="array" ref="H325">_xlfn.IFS(F325&gt;=80,"Distinction",F325&gt;=60,"Pass",F325&lt;60,"Fail")</f>
        <v>Distinction</v>
      </c>
      <c r="I325" t="str">
        <f>IF(OR(D325&lt;75,E325&lt;50),"Needs Intervention","Okay")</f>
        <v>Okay</v>
      </c>
    </row>
    <row r="326" spans="1:9" x14ac:dyDescent="0.35">
      <c r="A326" t="s">
        <v>265</v>
      </c>
      <c r="B326" t="s">
        <v>640</v>
      </c>
      <c r="C326" t="s">
        <v>782</v>
      </c>
      <c r="D326">
        <v>81</v>
      </c>
      <c r="E326">
        <v>74</v>
      </c>
      <c r="F326">
        <v>49</v>
      </c>
      <c r="G326" t="str">
        <f>IF(F326&gt;=50,"Pass","Fail")</f>
        <v>Fail</v>
      </c>
      <c r="H326" t="str" cm="1">
        <f t="array" ref="H326">_xlfn.IFS(F326&gt;=80,"Distinction",F326&gt;=60,"Pass",F326&lt;60,"Fail")</f>
        <v>Fail</v>
      </c>
      <c r="I326" t="str">
        <f>IF(OR(D326&lt;75,E326&lt;50),"Needs Intervention","Okay")</f>
        <v>Okay</v>
      </c>
    </row>
    <row r="327" spans="1:9" x14ac:dyDescent="0.35">
      <c r="A327" t="s">
        <v>267</v>
      </c>
      <c r="B327" t="s">
        <v>642</v>
      </c>
      <c r="C327" t="s">
        <v>783</v>
      </c>
      <c r="D327">
        <v>81</v>
      </c>
      <c r="E327">
        <v>87</v>
      </c>
      <c r="F327">
        <v>67</v>
      </c>
      <c r="G327" t="str">
        <f>IF(F327&gt;=50,"Pass","Fail")</f>
        <v>Pass</v>
      </c>
      <c r="H327" t="str" cm="1">
        <f t="array" ref="H327">_xlfn.IFS(F327&gt;=80,"Distinction",F327&gt;=60,"Pass",F327&lt;60,"Fail")</f>
        <v>Pass</v>
      </c>
      <c r="I327" t="str">
        <f>IF(OR(D327&lt;75,E327&lt;50),"Needs Intervention","Okay")</f>
        <v>Okay</v>
      </c>
    </row>
    <row r="328" spans="1:9" x14ac:dyDescent="0.35">
      <c r="A328" t="s">
        <v>274</v>
      </c>
      <c r="B328" t="s">
        <v>649</v>
      </c>
      <c r="C328" t="s">
        <v>783</v>
      </c>
      <c r="D328">
        <v>83</v>
      </c>
      <c r="E328">
        <v>92</v>
      </c>
      <c r="F328">
        <v>91</v>
      </c>
      <c r="G328" t="str">
        <f>IF(F328&gt;=50,"Pass","Fail")</f>
        <v>Pass</v>
      </c>
      <c r="H328" t="str" cm="1">
        <f t="array" ref="H328">_xlfn.IFS(F328&gt;=80,"Distinction",F328&gt;=60,"Pass",F328&lt;60,"Fail")</f>
        <v>Distinction</v>
      </c>
      <c r="I328" t="str">
        <f>IF(OR(D328&lt;75,E328&lt;50),"Needs Intervention","Okay")</f>
        <v>Okay</v>
      </c>
    </row>
    <row r="329" spans="1:9" x14ac:dyDescent="0.35">
      <c r="A329" t="s">
        <v>278</v>
      </c>
      <c r="B329" t="s">
        <v>653</v>
      </c>
      <c r="C329" t="s">
        <v>782</v>
      </c>
      <c r="D329">
        <v>97</v>
      </c>
      <c r="E329">
        <v>67</v>
      </c>
      <c r="F329">
        <v>34</v>
      </c>
      <c r="G329" t="str">
        <f>IF(F329&gt;=50,"Pass","Fail")</f>
        <v>Fail</v>
      </c>
      <c r="H329" t="str" cm="1">
        <f t="array" ref="H329">_xlfn.IFS(F329&gt;=80,"Distinction",F329&gt;=60,"Pass",F329&lt;60,"Fail")</f>
        <v>Fail</v>
      </c>
      <c r="I329" t="str">
        <f>IF(OR(D329&lt;75,E329&lt;50),"Needs Intervention","Okay")</f>
        <v>Okay</v>
      </c>
    </row>
    <row r="330" spans="1:9" x14ac:dyDescent="0.35">
      <c r="A330" t="s">
        <v>280</v>
      </c>
      <c r="B330" t="s">
        <v>655</v>
      </c>
      <c r="C330" t="s">
        <v>782</v>
      </c>
      <c r="D330">
        <v>82</v>
      </c>
      <c r="E330">
        <v>87</v>
      </c>
      <c r="F330">
        <v>60</v>
      </c>
      <c r="G330" t="str">
        <f>IF(F330&gt;=50,"Pass","Fail")</f>
        <v>Pass</v>
      </c>
      <c r="H330" t="str" cm="1">
        <f t="array" ref="H330">_xlfn.IFS(F330&gt;=80,"Distinction",F330&gt;=60,"Pass",F330&lt;60,"Fail")</f>
        <v>Pass</v>
      </c>
      <c r="I330" t="str">
        <f>IF(OR(D330&lt;75,E330&lt;50),"Needs Intervention","Okay")</f>
        <v>Okay</v>
      </c>
    </row>
    <row r="331" spans="1:9" x14ac:dyDescent="0.35">
      <c r="A331" t="s">
        <v>284</v>
      </c>
      <c r="B331" t="s">
        <v>659</v>
      </c>
      <c r="C331" t="s">
        <v>784</v>
      </c>
      <c r="D331">
        <v>78</v>
      </c>
      <c r="E331">
        <v>74</v>
      </c>
      <c r="F331">
        <v>69</v>
      </c>
      <c r="G331" t="str">
        <f>IF(F331&gt;=50,"Pass","Fail")</f>
        <v>Pass</v>
      </c>
      <c r="H331" t="str" cm="1">
        <f t="array" ref="H331">_xlfn.IFS(F331&gt;=80,"Distinction",F331&gt;=60,"Pass",F331&lt;60,"Fail")</f>
        <v>Pass</v>
      </c>
      <c r="I331" t="str">
        <f>IF(OR(D331&lt;75,E331&lt;50),"Needs Intervention","Okay")</f>
        <v>Okay</v>
      </c>
    </row>
    <row r="332" spans="1:9" x14ac:dyDescent="0.35">
      <c r="A332" t="s">
        <v>287</v>
      </c>
      <c r="B332" t="s">
        <v>662</v>
      </c>
      <c r="C332" t="s">
        <v>781</v>
      </c>
      <c r="D332">
        <v>85</v>
      </c>
      <c r="E332">
        <v>50</v>
      </c>
      <c r="F332">
        <v>52</v>
      </c>
      <c r="G332" t="str">
        <f>IF(F332&gt;=50,"Pass","Fail")</f>
        <v>Pass</v>
      </c>
      <c r="H332" t="str" cm="1">
        <f t="array" ref="H332">_xlfn.IFS(F332&gt;=80,"Distinction",F332&gt;=60,"Pass",F332&lt;60,"Fail")</f>
        <v>Fail</v>
      </c>
      <c r="I332" t="str">
        <f>IF(OR(D332&lt;75,E332&lt;50),"Needs Intervention","Okay")</f>
        <v>Okay</v>
      </c>
    </row>
    <row r="333" spans="1:9" x14ac:dyDescent="0.35">
      <c r="A333" t="s">
        <v>293</v>
      </c>
      <c r="B333" t="s">
        <v>668</v>
      </c>
      <c r="C333" t="s">
        <v>782</v>
      </c>
      <c r="D333">
        <v>81</v>
      </c>
      <c r="E333">
        <v>76</v>
      </c>
      <c r="F333">
        <v>86</v>
      </c>
      <c r="G333" t="str">
        <f>IF(F333&gt;=50,"Pass","Fail")</f>
        <v>Pass</v>
      </c>
      <c r="H333" t="str" cm="1">
        <f t="array" ref="H333">_xlfn.IFS(F333&gt;=80,"Distinction",F333&gt;=60,"Pass",F333&lt;60,"Fail")</f>
        <v>Distinction</v>
      </c>
      <c r="I333" t="str">
        <f>IF(OR(D333&lt;75,E333&lt;50),"Needs Intervention","Okay")</f>
        <v>Okay</v>
      </c>
    </row>
    <row r="334" spans="1:9" x14ac:dyDescent="0.35">
      <c r="A334" t="s">
        <v>297</v>
      </c>
      <c r="B334" t="s">
        <v>672</v>
      </c>
      <c r="C334" t="s">
        <v>780</v>
      </c>
      <c r="D334">
        <v>89</v>
      </c>
      <c r="E334">
        <v>60</v>
      </c>
      <c r="F334">
        <v>84</v>
      </c>
      <c r="G334" t="str">
        <f>IF(F334&gt;=50,"Pass","Fail")</f>
        <v>Pass</v>
      </c>
      <c r="H334" t="str" cm="1">
        <f t="array" ref="H334">_xlfn.IFS(F334&gt;=80,"Distinction",F334&gt;=60,"Pass",F334&lt;60,"Fail")</f>
        <v>Distinction</v>
      </c>
      <c r="I334" t="str">
        <f>IF(OR(D334&lt;75,E334&lt;50),"Needs Intervention","Okay")</f>
        <v>Okay</v>
      </c>
    </row>
    <row r="335" spans="1:9" x14ac:dyDescent="0.35">
      <c r="A335" t="s">
        <v>305</v>
      </c>
      <c r="B335" t="s">
        <v>680</v>
      </c>
      <c r="C335" t="s">
        <v>781</v>
      </c>
      <c r="D335">
        <v>99</v>
      </c>
      <c r="E335">
        <v>53</v>
      </c>
      <c r="F335">
        <v>86</v>
      </c>
      <c r="G335" t="str">
        <f>IF(F335&gt;=50,"Pass","Fail")</f>
        <v>Pass</v>
      </c>
      <c r="H335" t="str" cm="1">
        <f t="array" ref="H335">_xlfn.IFS(F335&gt;=80,"Distinction",F335&gt;=60,"Pass",F335&lt;60,"Fail")</f>
        <v>Distinction</v>
      </c>
      <c r="I335" t="str">
        <f>IF(OR(D335&lt;75,E335&lt;50),"Needs Intervention","Okay")</f>
        <v>Okay</v>
      </c>
    </row>
    <row r="336" spans="1:9" x14ac:dyDescent="0.35">
      <c r="A336" t="s">
        <v>308</v>
      </c>
      <c r="B336" t="s">
        <v>683</v>
      </c>
      <c r="C336" t="s">
        <v>784</v>
      </c>
      <c r="D336">
        <v>79</v>
      </c>
      <c r="E336">
        <v>65</v>
      </c>
      <c r="F336">
        <v>64</v>
      </c>
      <c r="G336" t="str">
        <f>IF(F336&gt;=50,"Pass","Fail")</f>
        <v>Pass</v>
      </c>
      <c r="H336" t="str" cm="1">
        <f t="array" ref="H336">_xlfn.IFS(F336&gt;=80,"Distinction",F336&gt;=60,"Pass",F336&lt;60,"Fail")</f>
        <v>Pass</v>
      </c>
      <c r="I336" t="str">
        <f>IF(OR(D336&lt;75,E336&lt;50),"Needs Intervention","Okay")</f>
        <v>Okay</v>
      </c>
    </row>
    <row r="337" spans="1:9" x14ac:dyDescent="0.35">
      <c r="A337" t="s">
        <v>310</v>
      </c>
      <c r="B337" t="s">
        <v>685</v>
      </c>
      <c r="C337" t="s">
        <v>780</v>
      </c>
      <c r="D337">
        <v>84</v>
      </c>
      <c r="E337">
        <v>87</v>
      </c>
      <c r="F337">
        <v>54</v>
      </c>
      <c r="G337" t="str">
        <f>IF(F337&gt;=50,"Pass","Fail")</f>
        <v>Pass</v>
      </c>
      <c r="H337" t="str" cm="1">
        <f t="array" ref="H337">_xlfn.IFS(F337&gt;=80,"Distinction",F337&gt;=60,"Pass",F337&lt;60,"Fail")</f>
        <v>Fail</v>
      </c>
      <c r="I337" t="str">
        <f>IF(OR(D337&lt;75,E337&lt;50),"Needs Intervention","Okay")</f>
        <v>Okay</v>
      </c>
    </row>
    <row r="338" spans="1:9" x14ac:dyDescent="0.35">
      <c r="A338" t="s">
        <v>313</v>
      </c>
      <c r="B338" t="s">
        <v>688</v>
      </c>
      <c r="C338" t="s">
        <v>780</v>
      </c>
      <c r="D338">
        <v>75</v>
      </c>
      <c r="E338">
        <v>57</v>
      </c>
      <c r="F338">
        <v>36</v>
      </c>
      <c r="G338" t="str">
        <f>IF(F338&gt;=50,"Pass","Fail")</f>
        <v>Fail</v>
      </c>
      <c r="H338" t="str" cm="1">
        <f t="array" ref="H338">_xlfn.IFS(F338&gt;=80,"Distinction",F338&gt;=60,"Pass",F338&lt;60,"Fail")</f>
        <v>Fail</v>
      </c>
      <c r="I338" t="str">
        <f>IF(OR(D338&lt;75,E338&lt;50),"Needs Intervention","Okay")</f>
        <v>Okay</v>
      </c>
    </row>
    <row r="339" spans="1:9" x14ac:dyDescent="0.35">
      <c r="A339" t="s">
        <v>314</v>
      </c>
      <c r="B339" t="s">
        <v>689</v>
      </c>
      <c r="C339" t="s">
        <v>782</v>
      </c>
      <c r="D339">
        <v>97</v>
      </c>
      <c r="E339">
        <v>70</v>
      </c>
      <c r="F339">
        <v>63</v>
      </c>
      <c r="G339" t="str">
        <f>IF(F339&gt;=50,"Pass","Fail")</f>
        <v>Pass</v>
      </c>
      <c r="H339" t="str" cm="1">
        <f t="array" ref="H339">_xlfn.IFS(F339&gt;=80,"Distinction",F339&gt;=60,"Pass",F339&lt;60,"Fail")</f>
        <v>Pass</v>
      </c>
      <c r="I339" t="str">
        <f>IF(OR(D339&lt;75,E339&lt;50),"Needs Intervention","Okay")</f>
        <v>Okay</v>
      </c>
    </row>
    <row r="340" spans="1:9" x14ac:dyDescent="0.35">
      <c r="A340" t="s">
        <v>315</v>
      </c>
      <c r="B340" t="s">
        <v>690</v>
      </c>
      <c r="C340" t="s">
        <v>784</v>
      </c>
      <c r="D340">
        <v>98</v>
      </c>
      <c r="E340">
        <v>93</v>
      </c>
      <c r="F340">
        <v>46</v>
      </c>
      <c r="G340" t="str">
        <f>IF(F340&gt;=50,"Pass","Fail")</f>
        <v>Fail</v>
      </c>
      <c r="H340" t="str" cm="1">
        <f t="array" ref="H340">_xlfn.IFS(F340&gt;=80,"Distinction",F340&gt;=60,"Pass",F340&lt;60,"Fail")</f>
        <v>Fail</v>
      </c>
      <c r="I340" t="str">
        <f>IF(OR(D340&lt;75,E340&lt;50),"Needs Intervention","Okay")</f>
        <v>Okay</v>
      </c>
    </row>
    <row r="341" spans="1:9" x14ac:dyDescent="0.35">
      <c r="A341" t="s">
        <v>322</v>
      </c>
      <c r="B341" t="s">
        <v>697</v>
      </c>
      <c r="C341" t="s">
        <v>780</v>
      </c>
      <c r="D341">
        <v>81</v>
      </c>
      <c r="E341">
        <v>75</v>
      </c>
      <c r="F341">
        <v>100</v>
      </c>
      <c r="G341" t="str">
        <f>IF(F341&gt;=50,"Pass","Fail")</f>
        <v>Pass</v>
      </c>
      <c r="H341" t="str" cm="1">
        <f t="array" ref="H341">_xlfn.IFS(F341&gt;=80,"Distinction",F341&gt;=60,"Pass",F341&lt;60,"Fail")</f>
        <v>Distinction</v>
      </c>
      <c r="I341" t="str">
        <f>IF(OR(D341&lt;75,E341&lt;50),"Needs Intervention","Okay")</f>
        <v>Okay</v>
      </c>
    </row>
    <row r="342" spans="1:9" x14ac:dyDescent="0.35">
      <c r="A342" t="s">
        <v>325</v>
      </c>
      <c r="B342" t="s">
        <v>700</v>
      </c>
      <c r="C342" t="s">
        <v>780</v>
      </c>
      <c r="D342">
        <v>84</v>
      </c>
      <c r="E342">
        <v>98</v>
      </c>
      <c r="F342">
        <v>62</v>
      </c>
      <c r="G342" t="str">
        <f>IF(F342&gt;=50,"Pass","Fail")</f>
        <v>Pass</v>
      </c>
      <c r="H342" t="str" cm="1">
        <f t="array" ref="H342">_xlfn.IFS(F342&gt;=80,"Distinction",F342&gt;=60,"Pass",F342&lt;60,"Fail")</f>
        <v>Pass</v>
      </c>
      <c r="I342" t="str">
        <f>IF(OR(D342&lt;75,E342&lt;50),"Needs Intervention","Okay")</f>
        <v>Okay</v>
      </c>
    </row>
    <row r="343" spans="1:9" x14ac:dyDescent="0.35">
      <c r="A343" t="s">
        <v>327</v>
      </c>
      <c r="B343" t="s">
        <v>702</v>
      </c>
      <c r="C343" t="s">
        <v>784</v>
      </c>
      <c r="D343">
        <v>97</v>
      </c>
      <c r="E343">
        <v>54</v>
      </c>
      <c r="F343">
        <v>58</v>
      </c>
      <c r="G343" t="str">
        <f>IF(F343&gt;=50,"Pass","Fail")</f>
        <v>Pass</v>
      </c>
      <c r="H343" t="str" cm="1">
        <f t="array" ref="H343">_xlfn.IFS(F343&gt;=80,"Distinction",F343&gt;=60,"Pass",F343&lt;60,"Fail")</f>
        <v>Fail</v>
      </c>
      <c r="I343" t="str">
        <f>IF(OR(D343&lt;75,E343&lt;50),"Needs Intervention","Okay")</f>
        <v>Okay</v>
      </c>
    </row>
    <row r="344" spans="1:9" x14ac:dyDescent="0.35">
      <c r="A344" t="s">
        <v>338</v>
      </c>
      <c r="B344" t="s">
        <v>713</v>
      </c>
      <c r="C344" t="s">
        <v>783</v>
      </c>
      <c r="D344">
        <v>87</v>
      </c>
      <c r="E344">
        <v>55</v>
      </c>
      <c r="F344">
        <v>78</v>
      </c>
      <c r="G344" t="str">
        <f>IF(F344&gt;=50,"Pass","Fail")</f>
        <v>Pass</v>
      </c>
      <c r="H344" t="str" cm="1">
        <f t="array" ref="H344">_xlfn.IFS(F344&gt;=80,"Distinction",F344&gt;=60,"Pass",F344&lt;60,"Fail")</f>
        <v>Pass</v>
      </c>
      <c r="I344" t="str">
        <f>IF(OR(D344&lt;75,E344&lt;50),"Needs Intervention","Okay")</f>
        <v>Okay</v>
      </c>
    </row>
    <row r="345" spans="1:9" x14ac:dyDescent="0.35">
      <c r="A345" t="s">
        <v>339</v>
      </c>
      <c r="B345" t="s">
        <v>714</v>
      </c>
      <c r="C345" t="s">
        <v>780</v>
      </c>
      <c r="D345">
        <v>89</v>
      </c>
      <c r="E345">
        <v>92</v>
      </c>
      <c r="F345">
        <v>100</v>
      </c>
      <c r="G345" t="str">
        <f>IF(F345&gt;=50,"Pass","Fail")</f>
        <v>Pass</v>
      </c>
      <c r="H345" t="str" cm="1">
        <f t="array" ref="H345">_xlfn.IFS(F345&gt;=80,"Distinction",F345&gt;=60,"Pass",F345&lt;60,"Fail")</f>
        <v>Distinction</v>
      </c>
      <c r="I345" t="str">
        <f>IF(OR(D345&lt;75,E345&lt;50),"Needs Intervention","Okay")</f>
        <v>Okay</v>
      </c>
    </row>
    <row r="346" spans="1:9" x14ac:dyDescent="0.35">
      <c r="A346" t="s">
        <v>341</v>
      </c>
      <c r="B346" t="s">
        <v>716</v>
      </c>
      <c r="C346" t="s">
        <v>783</v>
      </c>
      <c r="D346">
        <v>84</v>
      </c>
      <c r="E346">
        <v>56</v>
      </c>
      <c r="F346">
        <v>42</v>
      </c>
      <c r="G346" t="str">
        <f>IF(F346&gt;=50,"Pass","Fail")</f>
        <v>Fail</v>
      </c>
      <c r="H346" t="str" cm="1">
        <f t="array" ref="H346">_xlfn.IFS(F346&gt;=80,"Distinction",F346&gt;=60,"Pass",F346&lt;60,"Fail")</f>
        <v>Fail</v>
      </c>
      <c r="I346" t="str">
        <f>IF(OR(D346&lt;75,E346&lt;50),"Needs Intervention","Okay")</f>
        <v>Okay</v>
      </c>
    </row>
    <row r="347" spans="1:9" x14ac:dyDescent="0.35">
      <c r="A347" t="s">
        <v>342</v>
      </c>
      <c r="B347" t="s">
        <v>717</v>
      </c>
      <c r="C347" t="s">
        <v>782</v>
      </c>
      <c r="D347">
        <v>97</v>
      </c>
      <c r="E347">
        <v>78</v>
      </c>
      <c r="F347">
        <v>80</v>
      </c>
      <c r="G347" t="str">
        <f>IF(F347&gt;=50,"Pass","Fail")</f>
        <v>Pass</v>
      </c>
      <c r="H347" t="str" cm="1">
        <f t="array" ref="H347">_xlfn.IFS(F347&gt;=80,"Distinction",F347&gt;=60,"Pass",F347&lt;60,"Fail")</f>
        <v>Distinction</v>
      </c>
      <c r="I347" t="str">
        <f>IF(OR(D347&lt;75,E347&lt;50),"Needs Intervention","Okay")</f>
        <v>Okay</v>
      </c>
    </row>
    <row r="348" spans="1:9" x14ac:dyDescent="0.35">
      <c r="A348" t="s">
        <v>346</v>
      </c>
      <c r="B348" t="s">
        <v>721</v>
      </c>
      <c r="C348" t="s">
        <v>783</v>
      </c>
      <c r="D348">
        <v>78</v>
      </c>
      <c r="E348">
        <v>84</v>
      </c>
      <c r="F348">
        <v>59</v>
      </c>
      <c r="G348" t="str">
        <f>IF(F348&gt;=50,"Pass","Fail")</f>
        <v>Pass</v>
      </c>
      <c r="H348" t="str" cm="1">
        <f t="array" ref="H348">_xlfn.IFS(F348&gt;=80,"Distinction",F348&gt;=60,"Pass",F348&lt;60,"Fail")</f>
        <v>Fail</v>
      </c>
      <c r="I348" t="str">
        <f>IF(OR(D348&lt;75,E348&lt;50),"Needs Intervention","Okay")</f>
        <v>Okay</v>
      </c>
    </row>
    <row r="349" spans="1:9" x14ac:dyDescent="0.35">
      <c r="A349" t="s">
        <v>348</v>
      </c>
      <c r="B349" t="s">
        <v>723</v>
      </c>
      <c r="C349" t="s">
        <v>780</v>
      </c>
      <c r="D349">
        <v>95</v>
      </c>
      <c r="E349">
        <v>98</v>
      </c>
      <c r="F349">
        <v>78</v>
      </c>
      <c r="G349" t="str">
        <f>IF(F349&gt;=50,"Pass","Fail")</f>
        <v>Pass</v>
      </c>
      <c r="H349" t="str" cm="1">
        <f t="array" ref="H349">_xlfn.IFS(F349&gt;=80,"Distinction",F349&gt;=60,"Pass",F349&lt;60,"Fail")</f>
        <v>Pass</v>
      </c>
      <c r="I349" t="str">
        <f>IF(OR(D349&lt;75,E349&lt;50),"Needs Intervention","Okay")</f>
        <v>Okay</v>
      </c>
    </row>
    <row r="350" spans="1:9" x14ac:dyDescent="0.35">
      <c r="A350" t="s">
        <v>351</v>
      </c>
      <c r="B350" t="s">
        <v>726</v>
      </c>
      <c r="C350" t="s">
        <v>783</v>
      </c>
      <c r="D350">
        <v>84</v>
      </c>
      <c r="E350">
        <v>82</v>
      </c>
      <c r="F350">
        <v>45</v>
      </c>
      <c r="G350" t="str">
        <f>IF(F350&gt;=50,"Pass","Fail")</f>
        <v>Fail</v>
      </c>
      <c r="H350" t="str" cm="1">
        <f t="array" ref="H350">_xlfn.IFS(F350&gt;=80,"Distinction",F350&gt;=60,"Pass",F350&lt;60,"Fail")</f>
        <v>Fail</v>
      </c>
      <c r="I350" t="str">
        <f>IF(OR(D350&lt;75,E350&lt;50),"Needs Intervention","Okay")</f>
        <v>Okay</v>
      </c>
    </row>
    <row r="351" spans="1:9" x14ac:dyDescent="0.35">
      <c r="A351" t="s">
        <v>353</v>
      </c>
      <c r="B351" t="s">
        <v>728</v>
      </c>
      <c r="C351" t="s">
        <v>783</v>
      </c>
      <c r="D351">
        <v>90</v>
      </c>
      <c r="E351">
        <v>82</v>
      </c>
      <c r="F351">
        <v>48</v>
      </c>
      <c r="G351" t="str">
        <f>IF(F351&gt;=50,"Pass","Fail")</f>
        <v>Fail</v>
      </c>
      <c r="H351" t="str" cm="1">
        <f t="array" ref="H351">_xlfn.IFS(F351&gt;=80,"Distinction",F351&gt;=60,"Pass",F351&lt;60,"Fail")</f>
        <v>Fail</v>
      </c>
      <c r="I351" t="str">
        <f>IF(OR(D351&lt;75,E351&lt;50),"Needs Intervention","Okay")</f>
        <v>Okay</v>
      </c>
    </row>
    <row r="352" spans="1:9" x14ac:dyDescent="0.35">
      <c r="A352" t="s">
        <v>354</v>
      </c>
      <c r="B352" t="s">
        <v>729</v>
      </c>
      <c r="C352" t="s">
        <v>783</v>
      </c>
      <c r="D352">
        <v>85</v>
      </c>
      <c r="E352">
        <v>66</v>
      </c>
      <c r="F352">
        <v>47</v>
      </c>
      <c r="G352" t="str">
        <f>IF(F352&gt;=50,"Pass","Fail")</f>
        <v>Fail</v>
      </c>
      <c r="H352" t="str" cm="1">
        <f t="array" ref="H352">_xlfn.IFS(F352&gt;=80,"Distinction",F352&gt;=60,"Pass",F352&lt;60,"Fail")</f>
        <v>Fail</v>
      </c>
      <c r="I352" t="str">
        <f>IF(OR(D352&lt;75,E352&lt;50),"Needs Intervention","Okay")</f>
        <v>Okay</v>
      </c>
    </row>
    <row r="353" spans="1:9" x14ac:dyDescent="0.35">
      <c r="A353" t="s">
        <v>357</v>
      </c>
      <c r="B353" t="s">
        <v>732</v>
      </c>
      <c r="C353" t="s">
        <v>782</v>
      </c>
      <c r="D353">
        <v>82</v>
      </c>
      <c r="E353">
        <v>80</v>
      </c>
      <c r="F353">
        <v>95</v>
      </c>
      <c r="G353" t="str">
        <f>IF(F353&gt;=50,"Pass","Fail")</f>
        <v>Pass</v>
      </c>
      <c r="H353" t="str" cm="1">
        <f t="array" ref="H353">_xlfn.IFS(F353&gt;=80,"Distinction",F353&gt;=60,"Pass",F353&lt;60,"Fail")</f>
        <v>Distinction</v>
      </c>
      <c r="I353" t="str">
        <f>IF(OR(D353&lt;75,E353&lt;50),"Needs Intervention","Okay")</f>
        <v>Okay</v>
      </c>
    </row>
    <row r="354" spans="1:9" x14ac:dyDescent="0.35">
      <c r="A354" t="s">
        <v>360</v>
      </c>
      <c r="B354" t="s">
        <v>734</v>
      </c>
      <c r="C354" t="s">
        <v>783</v>
      </c>
      <c r="D354">
        <v>97</v>
      </c>
      <c r="E354">
        <v>91</v>
      </c>
      <c r="F354">
        <v>92</v>
      </c>
      <c r="G354" t="str">
        <f>IF(F354&gt;=50,"Pass","Fail")</f>
        <v>Pass</v>
      </c>
      <c r="H354" t="str" cm="1">
        <f t="array" ref="H354">_xlfn.IFS(F354&gt;=80,"Distinction",F354&gt;=60,"Pass",F354&lt;60,"Fail")</f>
        <v>Distinction</v>
      </c>
      <c r="I354" t="str">
        <f>IF(OR(D354&lt;75,E354&lt;50),"Needs Intervention","Okay")</f>
        <v>Okay</v>
      </c>
    </row>
    <row r="355" spans="1:9" x14ac:dyDescent="0.35">
      <c r="A355" t="s">
        <v>366</v>
      </c>
      <c r="B355" t="s">
        <v>740</v>
      </c>
      <c r="C355" t="s">
        <v>783</v>
      </c>
      <c r="D355">
        <v>82</v>
      </c>
      <c r="E355">
        <v>63</v>
      </c>
      <c r="F355">
        <v>32</v>
      </c>
      <c r="G355" t="str">
        <f>IF(F355&gt;=50,"Pass","Fail")</f>
        <v>Fail</v>
      </c>
      <c r="H355" t="str" cm="1">
        <f t="array" ref="H355">_xlfn.IFS(F355&gt;=80,"Distinction",F355&gt;=60,"Pass",F355&lt;60,"Fail")</f>
        <v>Fail</v>
      </c>
      <c r="I355" t="str">
        <f>IF(OR(D355&lt;75,E355&lt;50),"Needs Intervention","Okay")</f>
        <v>Okay</v>
      </c>
    </row>
    <row r="356" spans="1:9" x14ac:dyDescent="0.35">
      <c r="A356" t="s">
        <v>367</v>
      </c>
      <c r="B356" t="s">
        <v>741</v>
      </c>
      <c r="C356" t="s">
        <v>782</v>
      </c>
      <c r="D356">
        <v>97</v>
      </c>
      <c r="E356">
        <v>83</v>
      </c>
      <c r="F356">
        <v>61</v>
      </c>
      <c r="G356" t="str">
        <f>IF(F356&gt;=50,"Pass","Fail")</f>
        <v>Pass</v>
      </c>
      <c r="H356" t="str" cm="1">
        <f t="array" ref="H356">_xlfn.IFS(F356&gt;=80,"Distinction",F356&gt;=60,"Pass",F356&lt;60,"Fail")</f>
        <v>Pass</v>
      </c>
      <c r="I356" t="str">
        <f>IF(OR(D356&lt;75,E356&lt;50),"Needs Intervention","Okay")</f>
        <v>Okay</v>
      </c>
    </row>
    <row r="357" spans="1:9" x14ac:dyDescent="0.35">
      <c r="A357" t="s">
        <v>369</v>
      </c>
      <c r="B357" t="s">
        <v>743</v>
      </c>
      <c r="C357" t="s">
        <v>784</v>
      </c>
      <c r="D357">
        <v>100</v>
      </c>
      <c r="E357">
        <v>79</v>
      </c>
      <c r="F357">
        <v>63</v>
      </c>
      <c r="G357" t="str">
        <f>IF(F357&gt;=50,"Pass","Fail")</f>
        <v>Pass</v>
      </c>
      <c r="H357" t="str" cm="1">
        <f t="array" ref="H357">_xlfn.IFS(F357&gt;=80,"Distinction",F357&gt;=60,"Pass",F357&lt;60,"Fail")</f>
        <v>Pass</v>
      </c>
      <c r="I357" t="str">
        <f>IF(OR(D357&lt;75,E357&lt;50),"Needs Intervention","Okay")</f>
        <v>Okay</v>
      </c>
    </row>
    <row r="358" spans="1:9" x14ac:dyDescent="0.35">
      <c r="A358" t="s">
        <v>372</v>
      </c>
      <c r="B358" t="s">
        <v>746</v>
      </c>
      <c r="C358" t="s">
        <v>782</v>
      </c>
      <c r="D358">
        <v>95</v>
      </c>
      <c r="E358">
        <v>83</v>
      </c>
      <c r="F358">
        <v>79</v>
      </c>
      <c r="G358" t="str">
        <f>IF(F358&gt;=50,"Pass","Fail")</f>
        <v>Pass</v>
      </c>
      <c r="H358" t="str" cm="1">
        <f t="array" ref="H358">_xlfn.IFS(F358&gt;=80,"Distinction",F358&gt;=60,"Pass",F358&lt;60,"Fail")</f>
        <v>Pass</v>
      </c>
      <c r="I358" t="str">
        <f>IF(OR(D358&lt;75,E358&lt;50),"Needs Intervention","Okay")</f>
        <v>Okay</v>
      </c>
    </row>
    <row r="359" spans="1:9" x14ac:dyDescent="0.35">
      <c r="A359" t="s">
        <v>374</v>
      </c>
      <c r="B359" t="s">
        <v>748</v>
      </c>
      <c r="C359" t="s">
        <v>781</v>
      </c>
      <c r="D359">
        <v>87</v>
      </c>
      <c r="E359">
        <v>86</v>
      </c>
      <c r="F359">
        <v>37</v>
      </c>
      <c r="G359" t="str">
        <f>IF(F359&gt;=50,"Pass","Fail")</f>
        <v>Fail</v>
      </c>
      <c r="H359" t="str" cm="1">
        <f t="array" ref="H359">_xlfn.IFS(F359&gt;=80,"Distinction",F359&gt;=60,"Pass",F359&lt;60,"Fail")</f>
        <v>Fail</v>
      </c>
      <c r="I359" t="str">
        <f>IF(OR(D359&lt;75,E359&lt;50),"Needs Intervention","Okay")</f>
        <v>Okay</v>
      </c>
    </row>
    <row r="360" spans="1:9" x14ac:dyDescent="0.35">
      <c r="A360" t="s">
        <v>376</v>
      </c>
      <c r="B360" t="s">
        <v>750</v>
      </c>
      <c r="C360" t="s">
        <v>783</v>
      </c>
      <c r="D360">
        <v>94</v>
      </c>
      <c r="E360">
        <v>76</v>
      </c>
      <c r="F360">
        <v>86</v>
      </c>
      <c r="G360" t="str">
        <f>IF(F360&gt;=50,"Pass","Fail")</f>
        <v>Pass</v>
      </c>
      <c r="H360" t="str" cm="1">
        <f t="array" ref="H360">_xlfn.IFS(F360&gt;=80,"Distinction",F360&gt;=60,"Pass",F360&lt;60,"Fail")</f>
        <v>Distinction</v>
      </c>
      <c r="I360" t="str">
        <f>IF(OR(D360&lt;75,E360&lt;50),"Needs Intervention","Okay")</f>
        <v>Okay</v>
      </c>
    </row>
    <row r="361" spans="1:9" x14ac:dyDescent="0.35">
      <c r="A361" t="s">
        <v>377</v>
      </c>
      <c r="B361" t="s">
        <v>751</v>
      </c>
      <c r="C361" t="s">
        <v>783</v>
      </c>
      <c r="D361">
        <v>100</v>
      </c>
      <c r="E361">
        <v>52</v>
      </c>
      <c r="F361">
        <v>96</v>
      </c>
      <c r="G361" t="str">
        <f>IF(F361&gt;=50,"Pass","Fail")</f>
        <v>Pass</v>
      </c>
      <c r="H361" t="str" cm="1">
        <f t="array" ref="H361">_xlfn.IFS(F361&gt;=80,"Distinction",F361&gt;=60,"Pass",F361&lt;60,"Fail")</f>
        <v>Distinction</v>
      </c>
      <c r="I361" t="str">
        <f>IF(OR(D361&lt;75,E361&lt;50),"Needs Intervention","Okay")</f>
        <v>Okay</v>
      </c>
    </row>
    <row r="362" spans="1:9" x14ac:dyDescent="0.35">
      <c r="A362" t="s">
        <v>379</v>
      </c>
      <c r="B362" t="s">
        <v>753</v>
      </c>
      <c r="C362" t="s">
        <v>780</v>
      </c>
      <c r="D362">
        <v>76</v>
      </c>
      <c r="E362">
        <v>95</v>
      </c>
      <c r="F362">
        <v>83</v>
      </c>
      <c r="G362" t="str">
        <f>IF(F362&gt;=50,"Pass","Fail")</f>
        <v>Pass</v>
      </c>
      <c r="H362" t="str" cm="1">
        <f t="array" ref="H362">_xlfn.IFS(F362&gt;=80,"Distinction",F362&gt;=60,"Pass",F362&lt;60,"Fail")</f>
        <v>Distinction</v>
      </c>
      <c r="I362" t="str">
        <f>IF(OR(D362&lt;75,E362&lt;50),"Needs Intervention","Okay")</f>
        <v>Okay</v>
      </c>
    </row>
    <row r="363" spans="1:9" x14ac:dyDescent="0.35">
      <c r="A363" t="s">
        <v>380</v>
      </c>
      <c r="B363" t="s">
        <v>754</v>
      </c>
      <c r="C363" t="s">
        <v>782</v>
      </c>
      <c r="D363">
        <v>76</v>
      </c>
      <c r="E363">
        <v>80</v>
      </c>
      <c r="F363">
        <v>96</v>
      </c>
      <c r="G363" t="str">
        <f>IF(F363&gt;=50,"Pass","Fail")</f>
        <v>Pass</v>
      </c>
      <c r="H363" t="str" cm="1">
        <f t="array" ref="H363">_xlfn.IFS(F363&gt;=80,"Distinction",F363&gt;=60,"Pass",F363&lt;60,"Fail")</f>
        <v>Distinction</v>
      </c>
      <c r="I363" t="str">
        <f>IF(OR(D363&lt;75,E363&lt;50),"Needs Intervention","Okay")</f>
        <v>Okay</v>
      </c>
    </row>
    <row r="364" spans="1:9" x14ac:dyDescent="0.35">
      <c r="A364" t="s">
        <v>381</v>
      </c>
      <c r="B364" t="s">
        <v>755</v>
      </c>
      <c r="C364" t="s">
        <v>783</v>
      </c>
      <c r="D364">
        <v>83</v>
      </c>
      <c r="E364">
        <v>67</v>
      </c>
      <c r="F364">
        <v>80</v>
      </c>
      <c r="G364" t="str">
        <f>IF(F364&gt;=50,"Pass","Fail")</f>
        <v>Pass</v>
      </c>
      <c r="H364" t="str" cm="1">
        <f t="array" ref="H364">_xlfn.IFS(F364&gt;=80,"Distinction",F364&gt;=60,"Pass",F364&lt;60,"Fail")</f>
        <v>Distinction</v>
      </c>
      <c r="I364" t="str">
        <f>IF(OR(D364&lt;75,E364&lt;50),"Needs Intervention","Okay")</f>
        <v>Okay</v>
      </c>
    </row>
    <row r="365" spans="1:9" x14ac:dyDescent="0.35">
      <c r="A365" t="s">
        <v>383</v>
      </c>
      <c r="B365" t="s">
        <v>757</v>
      </c>
      <c r="C365" t="s">
        <v>783</v>
      </c>
      <c r="D365">
        <v>79</v>
      </c>
      <c r="E365">
        <v>67</v>
      </c>
      <c r="F365">
        <v>63</v>
      </c>
      <c r="G365" t="str">
        <f>IF(F365&gt;=50,"Pass","Fail")</f>
        <v>Pass</v>
      </c>
      <c r="H365" t="str" cm="1">
        <f t="array" ref="H365">_xlfn.IFS(F365&gt;=80,"Distinction",F365&gt;=60,"Pass",F365&lt;60,"Fail")</f>
        <v>Pass</v>
      </c>
      <c r="I365" t="str">
        <f>IF(OR(D365&lt;75,E365&lt;50),"Needs Intervention","Okay")</f>
        <v>Okay</v>
      </c>
    </row>
    <row r="366" spans="1:9" x14ac:dyDescent="0.35">
      <c r="A366" t="s">
        <v>384</v>
      </c>
      <c r="B366" t="s">
        <v>758</v>
      </c>
      <c r="C366" t="s">
        <v>781</v>
      </c>
      <c r="D366">
        <v>82</v>
      </c>
      <c r="E366">
        <v>79</v>
      </c>
      <c r="F366">
        <v>64</v>
      </c>
      <c r="G366" t="str">
        <f>IF(F366&gt;=50,"Pass","Fail")</f>
        <v>Pass</v>
      </c>
      <c r="H366" t="str" cm="1">
        <f t="array" ref="H366">_xlfn.IFS(F366&gt;=80,"Distinction",F366&gt;=60,"Pass",F366&lt;60,"Fail")</f>
        <v>Pass</v>
      </c>
      <c r="I366" t="str">
        <f>IF(OR(D366&lt;75,E366&lt;50),"Needs Intervention","Okay")</f>
        <v>Okay</v>
      </c>
    </row>
    <row r="367" spans="1:9" x14ac:dyDescent="0.35">
      <c r="A367" t="s">
        <v>385</v>
      </c>
      <c r="B367" t="s">
        <v>759</v>
      </c>
      <c r="C367" t="s">
        <v>783</v>
      </c>
      <c r="D367">
        <v>77</v>
      </c>
      <c r="E367">
        <v>59</v>
      </c>
      <c r="F367">
        <v>61</v>
      </c>
      <c r="G367" t="str">
        <f>IF(F367&gt;=50,"Pass","Fail")</f>
        <v>Pass</v>
      </c>
      <c r="H367" t="str" cm="1">
        <f t="array" ref="H367">_xlfn.IFS(F367&gt;=80,"Distinction",F367&gt;=60,"Pass",F367&lt;60,"Fail")</f>
        <v>Pass</v>
      </c>
      <c r="I367" t="str">
        <f>IF(OR(D367&lt;75,E367&lt;50),"Needs Intervention","Okay")</f>
        <v>Okay</v>
      </c>
    </row>
    <row r="368" spans="1:9" x14ac:dyDescent="0.35">
      <c r="A368" t="s">
        <v>386</v>
      </c>
      <c r="B368" t="s">
        <v>760</v>
      </c>
      <c r="C368" t="s">
        <v>781</v>
      </c>
      <c r="D368">
        <v>96</v>
      </c>
      <c r="E368">
        <v>80</v>
      </c>
      <c r="F368">
        <v>75</v>
      </c>
      <c r="G368" t="str">
        <f>IF(F368&gt;=50,"Pass","Fail")</f>
        <v>Pass</v>
      </c>
      <c r="H368" t="str" cm="1">
        <f t="array" ref="H368">_xlfn.IFS(F368&gt;=80,"Distinction",F368&gt;=60,"Pass",F368&lt;60,"Fail")</f>
        <v>Pass</v>
      </c>
      <c r="I368" t="str">
        <f>IF(OR(D368&lt;75,E368&lt;50),"Needs Intervention","Okay")</f>
        <v>Okay</v>
      </c>
    </row>
    <row r="369" spans="1:9" x14ac:dyDescent="0.35">
      <c r="A369" t="s">
        <v>387</v>
      </c>
      <c r="B369" t="s">
        <v>761</v>
      </c>
      <c r="C369" t="s">
        <v>783</v>
      </c>
      <c r="D369">
        <v>82</v>
      </c>
      <c r="E369">
        <v>92</v>
      </c>
      <c r="F369">
        <v>45</v>
      </c>
      <c r="G369" t="str">
        <f>IF(F369&gt;=50,"Pass","Fail")</f>
        <v>Fail</v>
      </c>
      <c r="H369" t="str" cm="1">
        <f t="array" ref="H369">_xlfn.IFS(F369&gt;=80,"Distinction",F369&gt;=60,"Pass",F369&lt;60,"Fail")</f>
        <v>Fail</v>
      </c>
      <c r="I369" t="str">
        <f>IF(OR(D369&lt;75,E369&lt;50),"Needs Intervention","Okay")</f>
        <v>Okay</v>
      </c>
    </row>
    <row r="370" spans="1:9" x14ac:dyDescent="0.35">
      <c r="A370" t="s">
        <v>389</v>
      </c>
      <c r="B370" t="s">
        <v>763</v>
      </c>
      <c r="C370" t="s">
        <v>781</v>
      </c>
      <c r="D370">
        <v>97</v>
      </c>
      <c r="E370">
        <v>67</v>
      </c>
      <c r="F370">
        <v>66</v>
      </c>
      <c r="G370" t="str">
        <f>IF(F370&gt;=50,"Pass","Fail")</f>
        <v>Pass</v>
      </c>
      <c r="H370" t="str" cm="1">
        <f t="array" ref="H370">_xlfn.IFS(F370&gt;=80,"Distinction",F370&gt;=60,"Pass",F370&lt;60,"Fail")</f>
        <v>Pass</v>
      </c>
      <c r="I370" t="str">
        <f>IF(OR(D370&lt;75,E370&lt;50),"Needs Intervention","Okay")</f>
        <v>Okay</v>
      </c>
    </row>
    <row r="371" spans="1:9" x14ac:dyDescent="0.35">
      <c r="A371" t="s">
        <v>393</v>
      </c>
      <c r="B371" t="s">
        <v>767</v>
      </c>
      <c r="C371" t="s">
        <v>780</v>
      </c>
      <c r="D371">
        <v>98</v>
      </c>
      <c r="E371">
        <v>58</v>
      </c>
      <c r="F371">
        <v>77</v>
      </c>
      <c r="G371" t="str">
        <f>IF(F371&gt;=50,"Pass","Fail")</f>
        <v>Pass</v>
      </c>
      <c r="H371" t="str" cm="1">
        <f t="array" ref="H371">_xlfn.IFS(F371&gt;=80,"Distinction",F371&gt;=60,"Pass",F371&lt;60,"Fail")</f>
        <v>Pass</v>
      </c>
      <c r="I371" t="str">
        <f>IF(OR(D371&lt;75,E371&lt;50),"Needs Intervention","Okay")</f>
        <v>Okay</v>
      </c>
    </row>
    <row r="372" spans="1:9" x14ac:dyDescent="0.35">
      <c r="A372" t="s">
        <v>396</v>
      </c>
      <c r="B372" t="s">
        <v>770</v>
      </c>
      <c r="C372" t="s">
        <v>784</v>
      </c>
      <c r="D372">
        <v>77</v>
      </c>
      <c r="E372">
        <v>85</v>
      </c>
      <c r="F372">
        <v>62</v>
      </c>
      <c r="G372" t="str">
        <f>IF(F372&gt;=50,"Pass","Fail")</f>
        <v>Pass</v>
      </c>
      <c r="H372" t="str" cm="1">
        <f t="array" ref="H372">_xlfn.IFS(F372&gt;=80,"Distinction",F372&gt;=60,"Pass",F372&lt;60,"Fail")</f>
        <v>Pass</v>
      </c>
      <c r="I372" t="str">
        <f>IF(OR(D372&lt;75,E372&lt;50),"Needs Intervention","Okay")</f>
        <v>Okay</v>
      </c>
    </row>
    <row r="373" spans="1:9" x14ac:dyDescent="0.35">
      <c r="A373" t="s">
        <v>399</v>
      </c>
      <c r="B373" t="s">
        <v>773</v>
      </c>
      <c r="C373" t="s">
        <v>781</v>
      </c>
      <c r="D373">
        <v>95</v>
      </c>
      <c r="E373">
        <v>98</v>
      </c>
      <c r="F373">
        <v>48</v>
      </c>
      <c r="G373" t="str">
        <f>IF(F373&gt;=50,"Pass","Fail")</f>
        <v>Fail</v>
      </c>
      <c r="H373" t="str" cm="1">
        <f t="array" ref="H373">_xlfn.IFS(F373&gt;=80,"Distinction",F373&gt;=60,"Pass",F373&lt;60,"Fail")</f>
        <v>Fail</v>
      </c>
      <c r="I373" t="str">
        <f>IF(OR(D373&lt;75,E373&lt;50),"Needs Intervention","Okay")</f>
        <v>Okay</v>
      </c>
    </row>
    <row r="374" spans="1:9" x14ac:dyDescent="0.35">
      <c r="A374" t="s">
        <v>402</v>
      </c>
      <c r="B374" t="s">
        <v>776</v>
      </c>
      <c r="C374" t="s">
        <v>780</v>
      </c>
      <c r="D374">
        <v>90</v>
      </c>
      <c r="E374">
        <v>82</v>
      </c>
      <c r="F374">
        <v>89</v>
      </c>
      <c r="G374" t="str">
        <f>IF(F374&gt;=50,"Pass","Fail")</f>
        <v>Pass</v>
      </c>
      <c r="H374" t="str" cm="1">
        <f t="array" ref="H374">_xlfn.IFS(F374&gt;=80,"Distinction",F374&gt;=60,"Pass",F374&lt;60,"Fail")</f>
        <v>Distinction</v>
      </c>
      <c r="I374" t="str">
        <f>IF(OR(D374&lt;75,E374&lt;50),"Needs Intervention","Okay")</f>
        <v>Okay</v>
      </c>
    </row>
    <row r="375" spans="1:9" x14ac:dyDescent="0.35">
      <c r="A375" t="s">
        <v>403</v>
      </c>
      <c r="B375" t="s">
        <v>777</v>
      </c>
      <c r="C375" t="s">
        <v>780</v>
      </c>
      <c r="D375">
        <v>86</v>
      </c>
      <c r="E375">
        <v>95</v>
      </c>
      <c r="F375">
        <v>31</v>
      </c>
      <c r="G375" t="str">
        <f>IF(F375&gt;=50,"Pass","Fail")</f>
        <v>Fail</v>
      </c>
      <c r="H375" t="str" cm="1">
        <f t="array" ref="H375">_xlfn.IFS(F375&gt;=80,"Distinction",F375&gt;=60,"Pass",F375&lt;60,"Fail")</f>
        <v>Fail</v>
      </c>
      <c r="I375" t="str">
        <f>IF(OR(D375&lt;75,E375&lt;50),"Needs Intervention","Okay")</f>
        <v>Okay</v>
      </c>
    </row>
    <row r="376" spans="1:9" x14ac:dyDescent="0.35">
      <c r="A376" t="s">
        <v>405</v>
      </c>
      <c r="B376" t="s">
        <v>779</v>
      </c>
      <c r="C376" t="s">
        <v>782</v>
      </c>
      <c r="D376">
        <v>78</v>
      </c>
      <c r="E376">
        <v>52</v>
      </c>
      <c r="F376">
        <v>76</v>
      </c>
      <c r="G376" t="str">
        <f>IF(F376&gt;=50,"Pass","Fail")</f>
        <v>Pass</v>
      </c>
      <c r="H376" t="str" cm="1">
        <f t="array" ref="H376">_xlfn.IFS(F376&gt;=80,"Distinction",F376&gt;=60,"Pass",F376&lt;60,"Fail")</f>
        <v>Pass</v>
      </c>
      <c r="I376" t="str">
        <f>IF(OR(D376&lt;75,E376&lt;50),"Needs Intervention","Okay")</f>
        <v>Okay</v>
      </c>
    </row>
  </sheetData>
  <autoFilter ref="A1:I376" xr:uid="{00000000-0001-0000-0100-000000000000}">
    <sortState xmlns:xlrd2="http://schemas.microsoft.com/office/spreadsheetml/2017/richdata2" ref="A2:I376">
      <sortCondition ref="I1:I376"/>
    </sortState>
  </autoFilter>
  <conditionalFormatting sqref="I2:I376">
    <cfRule type="cellIs" dxfId="0" priority="2" operator="equal">
      <formula>"Needs Intervention"</formula>
    </cfRule>
    <cfRule type="cellIs" dxfId="1" priority="1" operator="equal">
      <formula>"Okay"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Student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2025-07-19T21:53:34Z</dcterms:created>
  <dcterms:modified xsi:type="dcterms:W3CDTF">2026-09-11T19:21:33Z</dcterms:modified>
</cp:coreProperties>
</file>