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EFE17F3-D807-47BC-B6C4-59CA70D64CB7}" xr6:coauthVersionLast="47" xr6:coauthVersionMax="47" xr10:uidLastSave="{00000000-0000-0000-0000-000000000000}"/>
  <bookViews>
    <workbookView xWindow="-110" yWindow="-110" windowWidth="19420" windowHeight="10420" firstSheet="1" activeTab="6" xr2:uid="{00000000-000D-0000-FFFF-FFFF00000000}"/>
  </bookViews>
  <sheets>
    <sheet name="Instructions" sheetId="1" r:id="rId1"/>
    <sheet name="Dataset" sheetId="2" r:id="rId2"/>
    <sheet name="Issue_Type" sheetId="5" r:id="rId3"/>
    <sheet name="Platform_tickets" sheetId="6" r:id="rId4"/>
    <sheet name="Priority_Level" sheetId="7" r:id="rId5"/>
    <sheet name="User_Rating" sheetId="8" r:id="rId6"/>
    <sheet name="Ticket_Counts" sheetId="9" r:id="rId7"/>
  </sheets>
  <calcPr calcId="0"/>
  <pivotCaches>
    <pivotCache cacheId="35" r:id="rId8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<sst xmlns="http://schemas.openxmlformats.org/spreadsheetml/2006/main" count="680" uniqueCount="166">
  <si>
    <t>Day 12 - Pivot Table Part 2</t>
  </si>
  <si>
    <t>Today, you'll use pivot tables to:</t>
  </si>
  <si>
    <t>1. Create calculated fields</t>
  </si>
  <si>
    <t>2. Group data by month</t>
  </si>
  <si>
    <t>3. Drill into detail</t>
  </si>
  <si>
    <t>4. Use value comparisons</t>
  </si>
  <si>
    <t>5. Add timelines</t>
  </si>
  <si>
    <t>Scenario:</t>
  </si>
  <si>
    <t>You're part of a Customer Support team at a tech company. The leadership team needs insights from the support ticket system to improve operations.</t>
  </si>
  <si>
    <t>Tasks:</t>
  </si>
  <si>
    <t>1. Which issue types are reported most often?</t>
  </si>
  <si>
    <t xml:space="preserve">   - Use a pivot table with Issue Type in Rows, Count of Ticket ID in Values.</t>
  </si>
  <si>
    <t>2. Which platform generates the most support tickets?</t>
  </si>
  <si>
    <t xml:space="preserve">   - Use Platform in Rows, Count of Ticket ID in Values.</t>
  </si>
  <si>
    <t>3. What's the average resolution time by priority?</t>
  </si>
  <si>
    <t xml:space="preserve">   - Priority in Rows, Average of Time to Resolution in Values.</t>
  </si>
  <si>
    <t>4. Which ticket category has the lowest user rating?</t>
  </si>
  <si>
    <t xml:space="preserve">   - Category in Rows, Average of User Rating in Values. Apply conditional formatting.</t>
  </si>
  <si>
    <t>5. How do ticket counts trend month-by-month?</t>
  </si>
  <si>
    <t xml:space="preserve">   - Group Date Submitted by Month in Rows, Count of Ticket ID in Values.</t>
  </si>
  <si>
    <t>Bonus:</t>
  </si>
  <si>
    <t>- Add a Timeline to filter by date</t>
  </si>
  <si>
    <t>- Try a calculated field for something like Satisfaction per Hour: User Rating / Time to Resolution</t>
  </si>
  <si>
    <t>Remember: Pivot tables help summarize and analyze large datasets quickly!</t>
  </si>
  <si>
    <t>Ticket ID</t>
  </si>
  <si>
    <t>Date Submitted</t>
  </si>
  <si>
    <t>Issue Type</t>
  </si>
  <si>
    <t>Priority</t>
  </si>
  <si>
    <t>Platform</t>
  </si>
  <si>
    <t>Category</t>
  </si>
  <si>
    <t>Status</t>
  </si>
  <si>
    <t>Time to Resolution (hrs)</t>
  </si>
  <si>
    <t>User Rating (1-5)</t>
  </si>
  <si>
    <t>T0001</t>
  </si>
  <si>
    <t>Login Issue</t>
  </si>
  <si>
    <t>Urgent</t>
  </si>
  <si>
    <t>Web</t>
  </si>
  <si>
    <t>General Inquiry</t>
  </si>
  <si>
    <t>Closed</t>
  </si>
  <si>
    <t>Questions from leadership:</t>
  </si>
  <si>
    <t>T0002</t>
  </si>
  <si>
    <t>Payment Error</t>
  </si>
  <si>
    <t>Low</t>
  </si>
  <si>
    <t>Account Management</t>
  </si>
  <si>
    <t>Resolved</t>
  </si>
  <si>
    <t>T0003</t>
  </si>
  <si>
    <t>Medium</t>
  </si>
  <si>
    <t>Android</t>
  </si>
  <si>
    <t>In Progress</t>
  </si>
  <si>
    <t>T0004</t>
  </si>
  <si>
    <t>Feature Request</t>
  </si>
  <si>
    <t>Billing</t>
  </si>
  <si>
    <t>3. What’s the average resolution time by priority level?</t>
  </si>
  <si>
    <t>T0005</t>
  </si>
  <si>
    <t>Bug Report</t>
  </si>
  <si>
    <t>T0006</t>
  </si>
  <si>
    <t>5. How do ticket counts trend month by month?</t>
  </si>
  <si>
    <t>T0007</t>
  </si>
  <si>
    <t>High</t>
  </si>
  <si>
    <t>iOS</t>
  </si>
  <si>
    <t>Technical</t>
  </si>
  <si>
    <t>T0008</t>
  </si>
  <si>
    <t>T0009</t>
  </si>
  <si>
    <t>Account Suspension</t>
  </si>
  <si>
    <t>T0010</t>
  </si>
  <si>
    <t>Performance Lag</t>
  </si>
  <si>
    <t>UX/UI</t>
  </si>
  <si>
    <t>Open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</si>
  <si>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</si>
  <si>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</si>
  <si>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</si>
  <si>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</si>
  <si>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</si>
  <si>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</si>
  <si>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</si>
  <si>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</si>
  <si>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</si>
  <si>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</si>
  <si>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</si>
  <si>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</si>
  <si>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</si>
  <si>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</si>
  <si>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</si>
  <si>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</si>
  <si>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</si>
  <si>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</si>
  <si>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</si>
  <si>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</si>
  <si>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</si>
  <si>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</si>
  <si>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</si>
  <si>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</si>
  <si>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</si>
  <si>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</si>
  <si>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</si>
  <si>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</si>
  <si>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</si>
  <si>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</si>
  <si>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</si>
  <si>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</si>
  <si>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</si>
  <si>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</si>
  <si>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</si>
  <si>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</si>
  <si>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</si>
  <si>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</si>
  <si>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</si>
  <si>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</si>
  <si>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</si>
  <si>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</si>
  <si>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</si>
  <si>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</si>
  <si>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</si>
  <si>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</si>
  <si>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</si>
  <si>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</si>
  <si>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</si>
  <si>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</si>
  <si>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</si>
  <si>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</si>
  <si>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</si>
  <si>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</si>
  <si>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</si>
  <si>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</si>
  <si>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</si>
  <si>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</si>
  <si>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</si>
  <si>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</si>
  <si>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</si>
  <si>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</si>
  <si>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</si>
  <si>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</si>
  <si>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</si>
  <si>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</si>
  <si>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</si>
  <si>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</si>
  <si>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</si>
  <si>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</si>
  <si>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</si>
  <si>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</si>
  <si>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</si>
  <si>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</si>
  <si>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</si>
  <si>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</si>
  <si>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</si>
  <si>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</si>
  <si>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</si>
  <si>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</si>
  <si>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</si>
  <si>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</si>
  <si>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</si>
  <si>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</si>
  <si>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</si>
  <si>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</si>
  <si>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</si>
  <si>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</si>
  <si>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</si>
  <si>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</si>
  <si>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Count of Ticket ID</t>
  </si>
  <si>
    <t>Row Labels</t>
  </si>
  <si>
    <t>Grand Total</t>
  </si>
  <si>
    <t>Average of Time to Resolution (hrs)</t>
  </si>
  <si>
    <t>Average of User Rating (1-5)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</si>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</sst>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:mm:ss"/>
  </numFmts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3" borderId="0" xfId="0" applyFont="1" applyFill="1" applyAlignment="1">
      <alignment horizontal="left"/>
    </xf>
    <xf numFmtId="0" fontId="2" fillId="3" borderId="0" xfId="0" applyNumberFormat="1" applyFont="1" applyFill="1"/>
    <xf numFmtId="165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NumberFormat="1" applyFont="1" applyFill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[Day12_Practice_Challenge.xlsx]Ticket_Counts!PivotTable12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Ticket_Counts!$B$3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Ticket_Counts!$A$4:$A$7</c:f>
              <c:strCache>
                <c:ptCount val="3"/>
                <c:pt idx="0">
                  <c:v>Jan</c:v>
                </c:pt>
                <c:pt idx="1">
                  <c:v>Mar</c:v>
                </c:pt>
                <c:pt idx="2">
                  <c:v>Feb</c:v>
                </c:pt>
              </c:strCache>
            </c:strRef>
          </c:cat>
          <c:val>
            <c:numRef>
              <c:f>Ticket_Counts!$B$4:$B$7</c:f>
              <c:numCache>
                <c:formatCode>General</c:formatCode>
                <c:ptCount val="3"/>
                <c:pt idx="0">
                  <c:v>37</c:v>
                </c:pt>
                <c:pt idx="1">
                  <c:v>32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E-40F1-9D70-3B899CE78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791295"/>
        <c:axId val="515790047"/>
      </c:barChart>
      <c:catAx>
        <c:axId val="51579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790047"/>
        <c:crosses val="autoZero"/>
        <c:auto val="1"/>
        <c:lblAlgn val="ctr"/>
        <c:lblOffset val="100"/>
        <c:noMultiLvlLbl val="0"/>
      </c:catAx>
      <c:valAx>
        <c:axId val="51579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79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2</xdr:row>
      <xdr:rowOff>15875</xdr:rowOff>
    </xdr:from>
    <xdr:to>
      <xdr:col>10</xdr:col>
      <xdr:colOff>317500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4F919F-99F9-4FEF-A2FA-5229C06C1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8.912255092589" createdVersion="7" refreshedVersion="7" minRefreshableVersion="3" recordCount="100" xr:uid="{54903FE4-BB4B-45BC-90D9-E9DF9AE88EF7}">
  <cacheSource type="worksheet">
    <worksheetSource ref="A1:I101" sheet="Dataset"/>
  </cacheSource>
  <cacheFields count="9">
    <cacheField name="Ticket ID" numFmtId="0">
      <sharedItems/>
    </cacheField>
    <cacheField name="Date Submitted" numFmtId="165">
      <sharedItems containsSemiMixedTypes="0" containsNonDate="0" containsDate="1" containsString="0" minDate="2025-01-01T00:00:00" maxDate="2025-04-01T00:00:00" count="58">
        <d v="2025-03-22T00:00:00"/>
        <d v="2025-01-15T00:00:00"/>
        <d v="2025-01-04T00:00:00"/>
        <d v="2025-02-05T00:00:00"/>
        <d v="2025-02-01T00:00:00"/>
        <d v="2025-01-29T00:00:00"/>
        <d v="2025-01-18T00:00:00"/>
        <d v="2025-01-14T00:00:00"/>
        <d v="2025-03-27T00:00:00"/>
        <d v="2025-03-10T00:00:00"/>
        <d v="2025-01-12T00:00:00"/>
        <d v="2025-03-16T00:00:00"/>
        <d v="2025-02-24T00:00:00"/>
        <d v="2025-01-05T00:00:00"/>
        <d v="2025-01-28T00:00:00"/>
        <d v="2025-01-30T00:00:00"/>
        <d v="2025-03-05T00:00:00"/>
        <d v="2025-03-18T00:00:00"/>
        <d v="2025-03-12T00:00:00"/>
        <d v="2025-01-26T00:00:00"/>
        <d v="2025-03-24T00:00:00"/>
        <d v="2025-03-30T00:00:00"/>
        <d v="2025-02-23T00:00:00"/>
        <d v="2025-02-27T00:00:00"/>
        <d v="2025-01-01T00:00:00"/>
        <d v="2025-01-21T00:00:00"/>
        <d v="2025-02-13T00:00:00"/>
        <d v="2025-01-20T00:00:00"/>
        <d v="2025-02-18T00:00:00"/>
        <d v="2025-01-13T00:00:00"/>
        <d v="2025-02-15T00:00:00"/>
        <d v="2025-02-14T00:00:00"/>
        <d v="2025-02-03T00:00:00"/>
        <d v="2025-01-06T00:00:00"/>
        <d v="2025-02-28T00:00:00"/>
        <d v="2025-03-09T00:00:00"/>
        <d v="2025-01-16T00:00:00"/>
        <d v="2025-01-11T00:00:00"/>
        <d v="2025-03-11T00:00:00"/>
        <d v="2025-02-07T00:00:00"/>
        <d v="2025-03-21T00:00:00"/>
        <d v="2025-03-20T00:00:00"/>
        <d v="2025-02-16T00:00:00"/>
        <d v="2025-03-14T00:00:00"/>
        <d v="2025-01-25T00:00:00"/>
        <d v="2025-03-31T00:00:00"/>
        <d v="2025-01-09T00:00:00"/>
        <d v="2025-03-25T00:00:00"/>
        <d v="2025-02-17T00:00:00"/>
        <d v="2025-01-27T00:00:00"/>
        <d v="2025-03-26T00:00:00"/>
        <d v="2025-02-04T00:00:00"/>
        <d v="2025-03-28T00:00:00"/>
        <d v="2025-03-23T00:00:00"/>
        <d v="2025-01-10T00:00:00"/>
        <d v="2025-01-22T00:00:00"/>
        <d v="2025-03-29T00:00:00"/>
        <d v="2025-02-11T00:00:00"/>
      </sharedItems>
      <fieldGroup base="1">
        <rangePr groupBy="months" startDate="2025-01-01T00:00:00" endDate="2025-04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/2025"/>
        </groupItems>
      </fieldGroup>
    </cacheField>
    <cacheField name="Issue Type" numFmtId="0">
      <sharedItems count="6">
        <s v="Login Issue"/>
        <s v="Payment Error"/>
        <s v="Feature Request"/>
        <s v="Bug Report"/>
        <s v="Account Suspension"/>
        <s v="Performance Lag"/>
      </sharedItems>
    </cacheField>
    <cacheField name="Priority" numFmtId="0">
      <sharedItems count="4">
        <s v="Urgent"/>
        <s v="Low"/>
        <s v="Medium"/>
        <s v="High"/>
      </sharedItems>
    </cacheField>
    <cacheField name="Platform" numFmtId="0">
      <sharedItems count="3">
        <s v="Web"/>
        <s v="Android"/>
        <s v="iOS"/>
      </sharedItems>
    </cacheField>
    <cacheField name="Category" numFmtId="0">
      <sharedItems count="5">
        <s v="General Inquiry"/>
        <s v="Account Management"/>
        <s v="Billing"/>
        <s v="Technical"/>
        <s v="UX/UI"/>
      </sharedItems>
    </cacheField>
    <cacheField name="Status" numFmtId="0">
      <sharedItems/>
    </cacheField>
    <cacheField name="Time to Resolution (hrs)" numFmtId="0">
      <sharedItems containsSemiMixedTypes="0" containsString="0" containsNumber="1" minValue="2.4" maxValue="70.599999999999994"/>
    </cacheField>
    <cacheField name="User Rating (1-5)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0001"/>
    <x v="0"/>
    <x v="0"/>
    <x v="0"/>
    <x v="0"/>
    <x v="0"/>
    <s v="Closed"/>
    <n v="39.4"/>
    <n v="3.3"/>
  </r>
  <r>
    <s v="T0002"/>
    <x v="1"/>
    <x v="1"/>
    <x v="1"/>
    <x v="0"/>
    <x v="1"/>
    <s v="Resolved"/>
    <n v="53.3"/>
    <n v="3.7"/>
  </r>
  <r>
    <s v="T0003"/>
    <x v="2"/>
    <x v="0"/>
    <x v="2"/>
    <x v="1"/>
    <x v="0"/>
    <s v="In Progress"/>
    <n v="57.9"/>
    <n v="2.2999999999999998"/>
  </r>
  <r>
    <s v="T0004"/>
    <x v="3"/>
    <x v="2"/>
    <x v="2"/>
    <x v="0"/>
    <x v="2"/>
    <s v="In Progress"/>
    <n v="64.8"/>
    <n v="3"/>
  </r>
  <r>
    <s v="T0005"/>
    <x v="4"/>
    <x v="3"/>
    <x v="0"/>
    <x v="1"/>
    <x v="2"/>
    <s v="Closed"/>
    <n v="35.9"/>
    <n v="2.2999999999999998"/>
  </r>
  <r>
    <s v="T0006"/>
    <x v="5"/>
    <x v="2"/>
    <x v="2"/>
    <x v="0"/>
    <x v="2"/>
    <s v="Closed"/>
    <n v="20.7"/>
    <n v="3"/>
  </r>
  <r>
    <s v="T0007"/>
    <x v="6"/>
    <x v="0"/>
    <x v="3"/>
    <x v="2"/>
    <x v="3"/>
    <s v="In Progress"/>
    <n v="35.700000000000003"/>
    <n v="2.4"/>
  </r>
  <r>
    <s v="T0008"/>
    <x v="7"/>
    <x v="1"/>
    <x v="0"/>
    <x v="0"/>
    <x v="0"/>
    <s v="Resolved"/>
    <n v="28.9"/>
    <n v="2"/>
  </r>
  <r>
    <s v="T0009"/>
    <x v="8"/>
    <x v="4"/>
    <x v="2"/>
    <x v="1"/>
    <x v="2"/>
    <s v="Closed"/>
    <n v="48.7"/>
    <n v="2.1"/>
  </r>
  <r>
    <s v="T0010"/>
    <x v="9"/>
    <x v="5"/>
    <x v="2"/>
    <x v="0"/>
    <x v="4"/>
    <s v="Open"/>
    <n v="57.8"/>
    <n v="3.4"/>
  </r>
  <r>
    <s v="T0011"/>
    <x v="10"/>
    <x v="2"/>
    <x v="3"/>
    <x v="1"/>
    <x v="0"/>
    <s v="Resolved"/>
    <n v="52.6"/>
    <n v="4.5"/>
  </r>
  <r>
    <s v="T0012"/>
    <x v="11"/>
    <x v="1"/>
    <x v="0"/>
    <x v="1"/>
    <x v="0"/>
    <s v="Resolved"/>
    <n v="60.8"/>
    <n v="3.2"/>
  </r>
  <r>
    <s v="T0013"/>
    <x v="12"/>
    <x v="5"/>
    <x v="3"/>
    <x v="0"/>
    <x v="3"/>
    <s v="In Progress"/>
    <n v="66.3"/>
    <n v="3.1"/>
  </r>
  <r>
    <s v="T0014"/>
    <x v="13"/>
    <x v="3"/>
    <x v="0"/>
    <x v="1"/>
    <x v="1"/>
    <s v="Closed"/>
    <n v="70.599999999999994"/>
    <n v="1.8"/>
  </r>
  <r>
    <s v="T0015"/>
    <x v="2"/>
    <x v="3"/>
    <x v="0"/>
    <x v="0"/>
    <x v="3"/>
    <s v="Resolved"/>
    <n v="39.200000000000003"/>
    <n v="2"/>
  </r>
  <r>
    <s v="T0016"/>
    <x v="10"/>
    <x v="5"/>
    <x v="1"/>
    <x v="2"/>
    <x v="2"/>
    <s v="Closed"/>
    <n v="65.400000000000006"/>
    <n v="2.6"/>
  </r>
  <r>
    <s v="T0017"/>
    <x v="14"/>
    <x v="3"/>
    <x v="2"/>
    <x v="1"/>
    <x v="4"/>
    <s v="Closed"/>
    <n v="43.2"/>
    <n v="3.2"/>
  </r>
  <r>
    <s v="T0018"/>
    <x v="15"/>
    <x v="1"/>
    <x v="2"/>
    <x v="1"/>
    <x v="4"/>
    <s v="Closed"/>
    <n v="48.2"/>
    <n v="2"/>
  </r>
  <r>
    <s v="T0019"/>
    <x v="16"/>
    <x v="2"/>
    <x v="1"/>
    <x v="1"/>
    <x v="2"/>
    <s v="In Progress"/>
    <n v="7.4"/>
    <n v="2.9"/>
  </r>
  <r>
    <s v="T0020"/>
    <x v="17"/>
    <x v="1"/>
    <x v="3"/>
    <x v="1"/>
    <x v="4"/>
    <s v="Closed"/>
    <n v="31.7"/>
    <n v="3.8"/>
  </r>
  <r>
    <s v="T0021"/>
    <x v="2"/>
    <x v="1"/>
    <x v="1"/>
    <x v="2"/>
    <x v="3"/>
    <s v="In Progress"/>
    <n v="62.6"/>
    <n v="2.8"/>
  </r>
  <r>
    <s v="T0022"/>
    <x v="18"/>
    <x v="5"/>
    <x v="2"/>
    <x v="2"/>
    <x v="3"/>
    <s v="Open"/>
    <n v="14.3"/>
    <n v="1.1000000000000001"/>
  </r>
  <r>
    <s v="T0023"/>
    <x v="19"/>
    <x v="4"/>
    <x v="2"/>
    <x v="0"/>
    <x v="2"/>
    <s v="Resolved"/>
    <n v="19.8"/>
    <n v="2.2000000000000002"/>
  </r>
  <r>
    <s v="T0024"/>
    <x v="20"/>
    <x v="4"/>
    <x v="1"/>
    <x v="1"/>
    <x v="4"/>
    <s v="Resolved"/>
    <n v="24.6"/>
    <n v="2.6"/>
  </r>
  <r>
    <s v="T0025"/>
    <x v="21"/>
    <x v="2"/>
    <x v="1"/>
    <x v="1"/>
    <x v="0"/>
    <s v="Open"/>
    <n v="33.6"/>
    <n v="2"/>
  </r>
  <r>
    <s v="T0026"/>
    <x v="9"/>
    <x v="5"/>
    <x v="1"/>
    <x v="2"/>
    <x v="1"/>
    <s v="In Progress"/>
    <n v="25.3"/>
    <n v="3.7"/>
  </r>
  <r>
    <s v="T0027"/>
    <x v="22"/>
    <x v="4"/>
    <x v="2"/>
    <x v="0"/>
    <x v="0"/>
    <s v="Resolved"/>
    <n v="63.5"/>
    <n v="2.5"/>
  </r>
  <r>
    <s v="T0028"/>
    <x v="5"/>
    <x v="3"/>
    <x v="1"/>
    <x v="2"/>
    <x v="3"/>
    <s v="In Progress"/>
    <n v="21.1"/>
    <n v="3.2"/>
  </r>
  <r>
    <s v="T0029"/>
    <x v="23"/>
    <x v="4"/>
    <x v="1"/>
    <x v="2"/>
    <x v="3"/>
    <s v="In Progress"/>
    <n v="68.599999999999994"/>
    <n v="2.4"/>
  </r>
  <r>
    <s v="T0030"/>
    <x v="11"/>
    <x v="3"/>
    <x v="3"/>
    <x v="0"/>
    <x v="3"/>
    <s v="In Progress"/>
    <n v="31.2"/>
    <n v="5"/>
  </r>
  <r>
    <s v="T0031"/>
    <x v="3"/>
    <x v="2"/>
    <x v="1"/>
    <x v="1"/>
    <x v="3"/>
    <s v="Open"/>
    <n v="60.4"/>
    <n v="3.2"/>
  </r>
  <r>
    <s v="T0032"/>
    <x v="24"/>
    <x v="1"/>
    <x v="2"/>
    <x v="1"/>
    <x v="1"/>
    <s v="Open"/>
    <n v="34.700000000000003"/>
    <n v="2.4"/>
  </r>
  <r>
    <s v="T0033"/>
    <x v="25"/>
    <x v="1"/>
    <x v="3"/>
    <x v="2"/>
    <x v="2"/>
    <s v="In Progress"/>
    <n v="54.3"/>
    <n v="2.8"/>
  </r>
  <r>
    <s v="T0034"/>
    <x v="21"/>
    <x v="4"/>
    <x v="0"/>
    <x v="2"/>
    <x v="3"/>
    <s v="Closed"/>
    <n v="5.2"/>
    <n v="2.2000000000000002"/>
  </r>
  <r>
    <s v="T0035"/>
    <x v="12"/>
    <x v="3"/>
    <x v="2"/>
    <x v="2"/>
    <x v="4"/>
    <s v="Open"/>
    <n v="68.599999999999994"/>
    <n v="1.9"/>
  </r>
  <r>
    <s v="T0036"/>
    <x v="26"/>
    <x v="0"/>
    <x v="2"/>
    <x v="0"/>
    <x v="1"/>
    <s v="Closed"/>
    <n v="17.3"/>
    <n v="3.9"/>
  </r>
  <r>
    <s v="T0037"/>
    <x v="3"/>
    <x v="0"/>
    <x v="0"/>
    <x v="0"/>
    <x v="3"/>
    <s v="Closed"/>
    <n v="6.3"/>
    <n v="2.2999999999999998"/>
  </r>
  <r>
    <s v="T0038"/>
    <x v="27"/>
    <x v="0"/>
    <x v="2"/>
    <x v="2"/>
    <x v="4"/>
    <s v="In Progress"/>
    <n v="69"/>
    <n v="4"/>
  </r>
  <r>
    <s v="T0039"/>
    <x v="14"/>
    <x v="1"/>
    <x v="0"/>
    <x v="1"/>
    <x v="3"/>
    <s v="Closed"/>
    <n v="4.3"/>
    <n v="4.8"/>
  </r>
  <r>
    <s v="T0040"/>
    <x v="26"/>
    <x v="5"/>
    <x v="0"/>
    <x v="1"/>
    <x v="2"/>
    <s v="Closed"/>
    <n v="3.7"/>
    <n v="3.8"/>
  </r>
  <r>
    <s v="T0041"/>
    <x v="7"/>
    <x v="1"/>
    <x v="2"/>
    <x v="0"/>
    <x v="1"/>
    <s v="Closed"/>
    <n v="18.899999999999999"/>
    <n v="1.8"/>
  </r>
  <r>
    <s v="T0042"/>
    <x v="10"/>
    <x v="5"/>
    <x v="1"/>
    <x v="0"/>
    <x v="2"/>
    <s v="In Progress"/>
    <n v="60.7"/>
    <n v="4"/>
  </r>
  <r>
    <s v="T0043"/>
    <x v="28"/>
    <x v="3"/>
    <x v="1"/>
    <x v="1"/>
    <x v="1"/>
    <s v="In Progress"/>
    <n v="45.3"/>
    <n v="2.1"/>
  </r>
  <r>
    <s v="T0044"/>
    <x v="29"/>
    <x v="4"/>
    <x v="0"/>
    <x v="0"/>
    <x v="3"/>
    <s v="Open"/>
    <n v="18.3"/>
    <n v="3.4"/>
  </r>
  <r>
    <s v="T0045"/>
    <x v="30"/>
    <x v="0"/>
    <x v="3"/>
    <x v="1"/>
    <x v="3"/>
    <s v="Open"/>
    <n v="34.9"/>
    <n v="4"/>
  </r>
  <r>
    <s v="T0046"/>
    <x v="31"/>
    <x v="3"/>
    <x v="0"/>
    <x v="2"/>
    <x v="1"/>
    <s v="Closed"/>
    <n v="9.6"/>
    <n v="3.4"/>
  </r>
  <r>
    <s v="T0047"/>
    <x v="17"/>
    <x v="3"/>
    <x v="0"/>
    <x v="0"/>
    <x v="4"/>
    <s v="In Progress"/>
    <n v="68.3"/>
    <n v="4.9000000000000004"/>
  </r>
  <r>
    <s v="T0048"/>
    <x v="32"/>
    <x v="4"/>
    <x v="0"/>
    <x v="2"/>
    <x v="4"/>
    <s v="In Progress"/>
    <n v="34.299999999999997"/>
    <n v="4.3"/>
  </r>
  <r>
    <s v="T0049"/>
    <x v="33"/>
    <x v="3"/>
    <x v="1"/>
    <x v="0"/>
    <x v="3"/>
    <s v="Closed"/>
    <n v="19.600000000000001"/>
    <n v="2.2000000000000002"/>
  </r>
  <r>
    <s v="T0050"/>
    <x v="34"/>
    <x v="4"/>
    <x v="1"/>
    <x v="0"/>
    <x v="3"/>
    <s v="Open"/>
    <n v="27.5"/>
    <n v="2.4"/>
  </r>
  <r>
    <s v="T0051"/>
    <x v="35"/>
    <x v="2"/>
    <x v="1"/>
    <x v="2"/>
    <x v="2"/>
    <s v="In Progress"/>
    <n v="44.2"/>
    <n v="2.2000000000000002"/>
  </r>
  <r>
    <s v="T0052"/>
    <x v="36"/>
    <x v="4"/>
    <x v="0"/>
    <x v="2"/>
    <x v="3"/>
    <s v="Open"/>
    <n v="69.400000000000006"/>
    <n v="3.8"/>
  </r>
  <r>
    <s v="T0053"/>
    <x v="28"/>
    <x v="0"/>
    <x v="3"/>
    <x v="0"/>
    <x v="1"/>
    <s v="Closed"/>
    <n v="52.1"/>
    <n v="1.5"/>
  </r>
  <r>
    <s v="T0054"/>
    <x v="37"/>
    <x v="5"/>
    <x v="1"/>
    <x v="2"/>
    <x v="4"/>
    <s v="In Progress"/>
    <n v="56.3"/>
    <n v="1.2"/>
  </r>
  <r>
    <s v="T0055"/>
    <x v="38"/>
    <x v="5"/>
    <x v="2"/>
    <x v="1"/>
    <x v="4"/>
    <s v="Closed"/>
    <n v="13"/>
    <n v="1.2"/>
  </r>
  <r>
    <s v="T0056"/>
    <x v="39"/>
    <x v="0"/>
    <x v="2"/>
    <x v="1"/>
    <x v="2"/>
    <s v="Resolved"/>
    <n v="23.4"/>
    <n v="2.2000000000000002"/>
  </r>
  <r>
    <s v="T0057"/>
    <x v="40"/>
    <x v="5"/>
    <x v="2"/>
    <x v="2"/>
    <x v="4"/>
    <s v="Closed"/>
    <n v="42.3"/>
    <n v="4.8"/>
  </r>
  <r>
    <s v="T0058"/>
    <x v="41"/>
    <x v="4"/>
    <x v="0"/>
    <x v="1"/>
    <x v="4"/>
    <s v="Closed"/>
    <n v="67"/>
    <n v="3.6"/>
  </r>
  <r>
    <s v="T0059"/>
    <x v="42"/>
    <x v="2"/>
    <x v="2"/>
    <x v="1"/>
    <x v="0"/>
    <s v="Closed"/>
    <n v="42.1"/>
    <n v="4"/>
  </r>
  <r>
    <s v="T0060"/>
    <x v="43"/>
    <x v="5"/>
    <x v="0"/>
    <x v="1"/>
    <x v="1"/>
    <s v="In Progress"/>
    <n v="65.5"/>
    <n v="1.4"/>
  </r>
  <r>
    <s v="T0061"/>
    <x v="44"/>
    <x v="2"/>
    <x v="2"/>
    <x v="0"/>
    <x v="0"/>
    <s v="Closed"/>
    <n v="28"/>
    <n v="1"/>
  </r>
  <r>
    <s v="T0062"/>
    <x v="45"/>
    <x v="0"/>
    <x v="3"/>
    <x v="1"/>
    <x v="4"/>
    <s v="Closed"/>
    <n v="67.900000000000006"/>
    <n v="2.1"/>
  </r>
  <r>
    <s v="T0063"/>
    <x v="46"/>
    <x v="2"/>
    <x v="0"/>
    <x v="1"/>
    <x v="2"/>
    <s v="Resolved"/>
    <n v="15.5"/>
    <n v="2.9"/>
  </r>
  <r>
    <s v="T0064"/>
    <x v="33"/>
    <x v="3"/>
    <x v="2"/>
    <x v="2"/>
    <x v="2"/>
    <s v="In Progress"/>
    <n v="43.2"/>
    <n v="2.4"/>
  </r>
  <r>
    <s v="T0065"/>
    <x v="47"/>
    <x v="1"/>
    <x v="1"/>
    <x v="1"/>
    <x v="4"/>
    <s v="Resolved"/>
    <n v="60.1"/>
    <n v="4.9000000000000004"/>
  </r>
  <r>
    <s v="T0066"/>
    <x v="15"/>
    <x v="3"/>
    <x v="0"/>
    <x v="0"/>
    <x v="3"/>
    <s v="Closed"/>
    <n v="18.600000000000001"/>
    <n v="2"/>
  </r>
  <r>
    <s v="T0067"/>
    <x v="39"/>
    <x v="0"/>
    <x v="1"/>
    <x v="0"/>
    <x v="0"/>
    <s v="In Progress"/>
    <n v="50.7"/>
    <n v="4.4000000000000004"/>
  </r>
  <r>
    <s v="T0068"/>
    <x v="37"/>
    <x v="5"/>
    <x v="1"/>
    <x v="2"/>
    <x v="4"/>
    <s v="Resolved"/>
    <n v="22.8"/>
    <n v="1.5"/>
  </r>
  <r>
    <s v="T0069"/>
    <x v="15"/>
    <x v="5"/>
    <x v="1"/>
    <x v="0"/>
    <x v="2"/>
    <s v="Closed"/>
    <n v="49.7"/>
    <n v="1.3"/>
  </r>
  <r>
    <s v="T0070"/>
    <x v="29"/>
    <x v="2"/>
    <x v="1"/>
    <x v="0"/>
    <x v="2"/>
    <s v="Open"/>
    <n v="58.3"/>
    <n v="3"/>
  </r>
  <r>
    <s v="T0071"/>
    <x v="28"/>
    <x v="4"/>
    <x v="2"/>
    <x v="1"/>
    <x v="0"/>
    <s v="Resolved"/>
    <n v="57.6"/>
    <n v="3.3"/>
  </r>
  <r>
    <s v="T0072"/>
    <x v="3"/>
    <x v="1"/>
    <x v="2"/>
    <x v="1"/>
    <x v="1"/>
    <s v="In Progress"/>
    <n v="41.4"/>
    <n v="3.7"/>
  </r>
  <r>
    <s v="T0073"/>
    <x v="34"/>
    <x v="4"/>
    <x v="0"/>
    <x v="0"/>
    <x v="4"/>
    <s v="Resolved"/>
    <n v="4.4000000000000004"/>
    <n v="1.6"/>
  </r>
  <r>
    <s v="T0074"/>
    <x v="0"/>
    <x v="0"/>
    <x v="0"/>
    <x v="2"/>
    <x v="4"/>
    <s v="Resolved"/>
    <n v="39.1"/>
    <n v="4.2"/>
  </r>
  <r>
    <s v="T0075"/>
    <x v="42"/>
    <x v="5"/>
    <x v="0"/>
    <x v="2"/>
    <x v="1"/>
    <s v="Resolved"/>
    <n v="48.1"/>
    <n v="4.8"/>
  </r>
  <r>
    <s v="T0076"/>
    <x v="25"/>
    <x v="2"/>
    <x v="2"/>
    <x v="1"/>
    <x v="0"/>
    <s v="Open"/>
    <n v="6.4"/>
    <n v="1.3"/>
  </r>
  <r>
    <s v="T0077"/>
    <x v="48"/>
    <x v="5"/>
    <x v="0"/>
    <x v="0"/>
    <x v="0"/>
    <s v="In Progress"/>
    <n v="47.2"/>
    <n v="2"/>
  </r>
  <r>
    <s v="T0078"/>
    <x v="30"/>
    <x v="4"/>
    <x v="1"/>
    <x v="1"/>
    <x v="2"/>
    <s v="In Progress"/>
    <n v="2.4"/>
    <n v="3.2"/>
  </r>
  <r>
    <s v="T0079"/>
    <x v="49"/>
    <x v="4"/>
    <x v="2"/>
    <x v="2"/>
    <x v="1"/>
    <s v="In Progress"/>
    <n v="31.1"/>
    <n v="2.7"/>
  </r>
  <r>
    <s v="T0080"/>
    <x v="50"/>
    <x v="1"/>
    <x v="0"/>
    <x v="0"/>
    <x v="0"/>
    <s v="Closed"/>
    <n v="36.1"/>
    <n v="3.4"/>
  </r>
  <r>
    <s v="T0081"/>
    <x v="51"/>
    <x v="1"/>
    <x v="1"/>
    <x v="1"/>
    <x v="3"/>
    <s v="In Progress"/>
    <n v="32.1"/>
    <n v="3.5"/>
  </r>
  <r>
    <s v="T0082"/>
    <x v="21"/>
    <x v="2"/>
    <x v="0"/>
    <x v="1"/>
    <x v="4"/>
    <s v="In Progress"/>
    <n v="27"/>
    <n v="4.0999999999999996"/>
  </r>
  <r>
    <s v="T0083"/>
    <x v="52"/>
    <x v="1"/>
    <x v="3"/>
    <x v="2"/>
    <x v="2"/>
    <s v="Open"/>
    <n v="64.400000000000006"/>
    <n v="2.5"/>
  </r>
  <r>
    <s v="T0084"/>
    <x v="53"/>
    <x v="4"/>
    <x v="0"/>
    <x v="1"/>
    <x v="1"/>
    <s v="Closed"/>
    <n v="33.9"/>
    <n v="4.5999999999999996"/>
  </r>
  <r>
    <s v="T0085"/>
    <x v="54"/>
    <x v="4"/>
    <x v="3"/>
    <x v="2"/>
    <x v="2"/>
    <s v="Closed"/>
    <n v="12.3"/>
    <n v="2.2000000000000002"/>
  </r>
  <r>
    <s v="T0086"/>
    <x v="17"/>
    <x v="0"/>
    <x v="0"/>
    <x v="2"/>
    <x v="0"/>
    <s v="Resolved"/>
    <n v="13.9"/>
    <n v="3.4"/>
  </r>
  <r>
    <s v="T0087"/>
    <x v="0"/>
    <x v="4"/>
    <x v="0"/>
    <x v="0"/>
    <x v="0"/>
    <s v="Closed"/>
    <n v="38.299999999999997"/>
    <n v="2.7"/>
  </r>
  <r>
    <s v="T0088"/>
    <x v="55"/>
    <x v="2"/>
    <x v="2"/>
    <x v="0"/>
    <x v="3"/>
    <s v="Closed"/>
    <n v="47.4"/>
    <n v="3.3"/>
  </r>
  <r>
    <s v="T0089"/>
    <x v="35"/>
    <x v="3"/>
    <x v="2"/>
    <x v="1"/>
    <x v="4"/>
    <s v="Open"/>
    <n v="44.9"/>
    <n v="1.2"/>
  </r>
  <r>
    <s v="T0090"/>
    <x v="4"/>
    <x v="0"/>
    <x v="3"/>
    <x v="2"/>
    <x v="1"/>
    <s v="In Progress"/>
    <n v="66.3"/>
    <n v="4.8"/>
  </r>
  <r>
    <s v="T0091"/>
    <x v="25"/>
    <x v="0"/>
    <x v="2"/>
    <x v="2"/>
    <x v="2"/>
    <s v="Closed"/>
    <n v="56.1"/>
    <n v="1.4"/>
  </r>
  <r>
    <s v="T0092"/>
    <x v="34"/>
    <x v="2"/>
    <x v="1"/>
    <x v="0"/>
    <x v="4"/>
    <s v="Closed"/>
    <n v="34.299999999999997"/>
    <n v="4.0999999999999996"/>
  </r>
  <r>
    <s v="T0093"/>
    <x v="28"/>
    <x v="2"/>
    <x v="1"/>
    <x v="0"/>
    <x v="0"/>
    <s v="Open"/>
    <n v="59.7"/>
    <n v="3.5"/>
  </r>
  <r>
    <s v="T0094"/>
    <x v="51"/>
    <x v="1"/>
    <x v="3"/>
    <x v="2"/>
    <x v="4"/>
    <s v="Closed"/>
    <n v="43.3"/>
    <n v="2.1"/>
  </r>
  <r>
    <s v="T0095"/>
    <x v="0"/>
    <x v="0"/>
    <x v="1"/>
    <x v="0"/>
    <x v="2"/>
    <s v="Closed"/>
    <n v="24.2"/>
    <n v="1.3"/>
  </r>
  <r>
    <s v="T0096"/>
    <x v="56"/>
    <x v="1"/>
    <x v="1"/>
    <x v="1"/>
    <x v="4"/>
    <s v="Open"/>
    <n v="18.8"/>
    <n v="2"/>
  </r>
  <r>
    <s v="T0097"/>
    <x v="18"/>
    <x v="4"/>
    <x v="0"/>
    <x v="2"/>
    <x v="0"/>
    <s v="Resolved"/>
    <n v="67.400000000000006"/>
    <n v="3.2"/>
  </r>
  <r>
    <s v="T0098"/>
    <x v="5"/>
    <x v="0"/>
    <x v="2"/>
    <x v="0"/>
    <x v="4"/>
    <s v="Resolved"/>
    <n v="21.2"/>
    <n v="1.6"/>
  </r>
  <r>
    <s v="T0099"/>
    <x v="52"/>
    <x v="0"/>
    <x v="1"/>
    <x v="1"/>
    <x v="1"/>
    <s v="Closed"/>
    <n v="33.299999999999997"/>
    <n v="2.6"/>
  </r>
  <r>
    <s v="T0100"/>
    <x v="57"/>
    <x v="5"/>
    <x v="1"/>
    <x v="2"/>
    <x v="4"/>
    <s v="Closed"/>
    <n v="54.4"/>
    <n v="3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F7028-9D0B-4E3B-B834-D7DA07B1A348}" name="PivotTable8" cacheId="3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>
  <location ref="A3:B10" firstHeaderRow="1" firstDataRow="1" firstDataCol="1"/>
  <pivotFields count="9">
    <pivotField dataField="1" showAll="0"/>
    <pivotField numFmtId="16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descending">
      <items count="7">
        <item x="4"/>
        <item x="3"/>
        <item x="2"/>
        <item x="0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3"/>
    </i>
    <i>
      <x v="4"/>
    </i>
    <i>
      <x v="5"/>
    </i>
    <i>
      <x v="2"/>
    </i>
    <i>
      <x v="1"/>
    </i>
    <i t="grand">
      <x/>
    </i>
  </rowItems>
  <colItems count="1">
    <i/>
  </colItems>
  <dataFields count="1">
    <dataField name="Count of Ticket ID" fld="0" subtotal="count" baseField="0" baseItem="0"/>
  </dataFields>
  <formats count="2">
    <format dxfId="3">
      <pivotArea collapsedLevelsAreSubtotals="1" fieldPosition="0">
        <references count="1">
          <reference field="2" count="1">
            <x v="0"/>
          </reference>
        </references>
      </pivotArea>
    </format>
    <format dxfId="2">
      <pivotArea dataOnly="0" labelOnly="1" fieldPosition="0">
        <references count="1">
          <reference field="2" count="1">
            <x v="0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222D3E-CB2B-4637-8819-A77A7E0FF854}" name="PivotTable9" cacheId="3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7" firstHeaderRow="1" firstDataRow="1" firstDataCol="1"/>
  <pivotFields count="9">
    <pivotField dataField="1" showAll="0"/>
    <pivotField numFmtId="16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4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Count of Ticket ID" fld="0" subtotal="count" baseField="0" baseItem="0"/>
  </dataFields>
  <formats count="2">
    <format dxfId="1">
      <pivotArea collapsedLevelsAreSubtotals="1" fieldPosition="0">
        <references count="1">
          <reference field="4" count="1">
            <x v="0"/>
          </reference>
        </references>
      </pivotArea>
    </format>
    <format dxfId="0">
      <pivotArea dataOnly="0" labelOnly="1" fieldPosition="0">
        <references count="1">
          <reference field="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86E20-469B-4C4F-A5A5-D5910FE83CA9}" name="PivotTable10" cacheId="3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" firstHeaderRow="1" firstDataRow="1" firstDataCol="1"/>
  <pivotFields count="9">
    <pivotField showAll="0"/>
    <pivotField numFmtId="16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5"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ime to Resolution (hrs)" fld="7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FD9AB5-3926-4A50-BFCE-A9179CEEE732}" name="PivotTable11" cacheId="3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9" firstHeaderRow="1" firstDataRow="1" firstDataCol="1"/>
  <pivotFields count="9">
    <pivotField showAll="0"/>
    <pivotField numFmtId="16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 sortType="descending">
      <items count="6">
        <item x="1"/>
        <item x="2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5"/>
  </rowFields>
  <rowItems count="6">
    <i>
      <x/>
    </i>
    <i>
      <x v="4"/>
    </i>
    <i>
      <x v="3"/>
    </i>
    <i>
      <x v="2"/>
    </i>
    <i>
      <x v="1"/>
    </i>
    <i t="grand">
      <x/>
    </i>
  </rowItems>
  <colItems count="1">
    <i/>
  </colItems>
  <dataFields count="1">
    <dataField name="Average of User Rating (1-5)" fld="8" subtotal="average" baseField="5" baseItem="0"/>
  </dataFields>
  <formats count="2">
    <format dxfId="5">
      <pivotArea collapsedLevelsAreSubtotals="1" fieldPosition="0">
        <references count="1">
          <reference field="5" count="1">
            <x v="1"/>
          </reference>
        </references>
      </pivotArea>
    </format>
    <format dxfId="4">
      <pivotArea dataOnly="0" labelOnly="1" fieldPosition="0">
        <references count="1">
          <reference field="5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2D21F-6968-4FC0-A248-A21CAC06FCF2}" name="PivotTable12" cacheId="3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7" firstHeaderRow="1" firstDataRow="1" firstDataCol="1"/>
  <pivotFields count="9">
    <pivotField dataField="1" showAll="0"/>
    <pivotField axis="axisRow" numFmtId="165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 v="1"/>
    </i>
    <i>
      <x v="3"/>
    </i>
    <i>
      <x v="2"/>
    </i>
    <i t="grand">
      <x/>
    </i>
  </rowItems>
  <colItems count="1">
    <i/>
  </colItems>
  <dataFields count="1">
    <dataField name="Count of Ticket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topLeftCell="A19" workbookViewId="0">
      <selection activeCell="A20" sqref="A20:E20"/>
    </sheetView>
  </sheetViews>
  <sheetFormatPr defaultRowHeight="14.5" x14ac:dyDescent="0.35"/>
  <sheetData>
    <row r="1" spans="1:1" x14ac:dyDescent="0.35">
      <c r="A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3" spans="1:1" x14ac:dyDescent="0.35">
      <c r="A13" t="s">
        <v>9</v>
      </c>
    </row>
    <row r="14" spans="1:1" x14ac:dyDescent="0.35">
      <c r="A14" t="s">
        <v>10</v>
      </c>
    </row>
    <row r="15" spans="1:1" x14ac:dyDescent="0.35">
      <c r="A15" t="s">
        <v>11</v>
      </c>
    </row>
    <row r="17" spans="1:1" x14ac:dyDescent="0.35">
      <c r="A17" t="s">
        <v>12</v>
      </c>
    </row>
    <row r="18" spans="1:1" x14ac:dyDescent="0.35">
      <c r="A18" t="s">
        <v>13</v>
      </c>
    </row>
    <row r="20" spans="1:1" x14ac:dyDescent="0.35">
      <c r="A20" t="s">
        <v>14</v>
      </c>
    </row>
    <row r="21" spans="1:1" x14ac:dyDescent="0.35">
      <c r="A21" t="s">
        <v>15</v>
      </c>
    </row>
    <row r="23" spans="1:1" x14ac:dyDescent="0.35">
      <c r="A23" t="s">
        <v>16</v>
      </c>
    </row>
    <row r="24" spans="1:1" x14ac:dyDescent="0.35">
      <c r="A24" t="s">
        <v>17</v>
      </c>
    </row>
    <row r="26" spans="1:1" x14ac:dyDescent="0.35">
      <c r="A26" t="s">
        <v>18</v>
      </c>
    </row>
    <row r="27" spans="1:1" x14ac:dyDescent="0.35">
      <c r="A27" t="s">
        <v>19</v>
      </c>
    </row>
    <row r="29" spans="1:1" x14ac:dyDescent="0.35">
      <c r="A29" t="s">
        <v>20</v>
      </c>
    </row>
    <row r="30" spans="1:1" x14ac:dyDescent="0.35">
      <c r="A30" t="s">
        <v>21</v>
      </c>
    </row>
    <row r="31" spans="1:1" x14ac:dyDescent="0.35">
      <c r="A31" t="s">
        <v>22</v>
      </c>
    </row>
    <row r="33" spans="1:1" x14ac:dyDescent="0.35">
      <c r="A33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1"/>
  <sheetViews>
    <sheetView topLeftCell="C1" workbookViewId="0">
      <selection activeCell="K7" sqref="K7:O7"/>
    </sheetView>
  </sheetViews>
  <sheetFormatPr defaultRowHeight="14.5" x14ac:dyDescent="0.35"/>
  <cols>
    <col min="2" max="2" width="16.7265625" bestFit="1" customWidth="1"/>
    <col min="3" max="3" width="17.6328125" bestFit="1" customWidth="1"/>
    <col min="4" max="4" width="7.81640625" bestFit="1" customWidth="1"/>
    <col min="5" max="5" width="8" bestFit="1" customWidth="1"/>
    <col min="6" max="6" width="19.26953125" bestFit="1" customWidth="1"/>
    <col min="7" max="7" width="10" bestFit="1" customWidth="1"/>
    <col min="8" max="8" width="20.90625" bestFit="1" customWidth="1"/>
    <col min="9" max="9" width="14.7265625" bestFit="1" customWidth="1"/>
  </cols>
  <sheetData>
    <row r="1" spans="1:11" x14ac:dyDescent="0.3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</row>
    <row r="2" spans="1:11" x14ac:dyDescent="0.35">
      <c r="A2" t="s">
        <v>33</v>
      </c>
      <c r="B2" s="1">
        <v>45738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>
        <v>39.4</v>
      </c>
      <c r="I2">
        <v>3.3</v>
      </c>
      <c r="K2" t="s">
        <v>39</v>
      </c>
    </row>
    <row r="3" spans="1:11" x14ac:dyDescent="0.35">
      <c r="A3" t="s">
        <v>40</v>
      </c>
      <c r="B3" s="1">
        <v>45672</v>
      </c>
      <c r="C3" t="s">
        <v>41</v>
      </c>
      <c r="D3" t="s">
        <v>42</v>
      </c>
      <c r="E3" t="s">
        <v>36</v>
      </c>
      <c r="F3" t="s">
        <v>43</v>
      </c>
      <c r="G3" t="s">
        <v>44</v>
      </c>
      <c r="H3">
        <v>53.3</v>
      </c>
      <c r="I3">
        <v>3.7</v>
      </c>
      <c r="K3" t="s">
        <v>10</v>
      </c>
    </row>
    <row r="4" spans="1:11" x14ac:dyDescent="0.35">
      <c r="A4" t="s">
        <v>45</v>
      </c>
      <c r="B4" s="1">
        <v>45661</v>
      </c>
      <c r="C4" t="s">
        <v>34</v>
      </c>
      <c r="D4" t="s">
        <v>46</v>
      </c>
      <c r="E4" t="s">
        <v>47</v>
      </c>
      <c r="F4" t="s">
        <v>37</v>
      </c>
      <c r="G4" t="s">
        <v>48</v>
      </c>
      <c r="H4">
        <v>57.9</v>
      </c>
      <c r="I4">
        <v>2.2999999999999998</v>
      </c>
      <c r="K4" t="s">
        <v>12</v>
      </c>
    </row>
    <row r="5" spans="1:11" x14ac:dyDescent="0.35">
      <c r="A5" t="s">
        <v>49</v>
      </c>
      <c r="B5" s="1">
        <v>45693</v>
      </c>
      <c r="C5" t="s">
        <v>50</v>
      </c>
      <c r="D5" t="s">
        <v>46</v>
      </c>
      <c r="E5" t="s">
        <v>36</v>
      </c>
      <c r="F5" t="s">
        <v>51</v>
      </c>
      <c r="G5" t="s">
        <v>48</v>
      </c>
      <c r="H5">
        <v>64.8</v>
      </c>
      <c r="I5">
        <v>3</v>
      </c>
      <c r="K5" t="s">
        <v>52</v>
      </c>
    </row>
    <row r="6" spans="1:11" x14ac:dyDescent="0.35">
      <c r="A6" t="s">
        <v>53</v>
      </c>
      <c r="B6" s="1">
        <v>45689</v>
      </c>
      <c r="C6" t="s">
        <v>54</v>
      </c>
      <c r="D6" t="s">
        <v>35</v>
      </c>
      <c r="E6" t="s">
        <v>47</v>
      </c>
      <c r="F6" t="s">
        <v>51</v>
      </c>
      <c r="G6" t="s">
        <v>38</v>
      </c>
      <c r="H6">
        <v>35.9</v>
      </c>
      <c r="I6">
        <v>2.2999999999999998</v>
      </c>
      <c r="K6" t="s">
        <v>16</v>
      </c>
    </row>
    <row r="7" spans="1:11" x14ac:dyDescent="0.35">
      <c r="A7" t="s">
        <v>55</v>
      </c>
      <c r="B7" s="1">
        <v>45686</v>
      </c>
      <c r="C7" t="s">
        <v>50</v>
      </c>
      <c r="D7" t="s">
        <v>46</v>
      </c>
      <c r="E7" t="s">
        <v>36</v>
      </c>
      <c r="F7" t="s">
        <v>51</v>
      </c>
      <c r="G7" t="s">
        <v>38</v>
      </c>
      <c r="H7">
        <v>20.7</v>
      </c>
      <c r="I7">
        <v>3</v>
      </c>
      <c r="K7" t="s">
        <v>56</v>
      </c>
    </row>
    <row r="8" spans="1:11" x14ac:dyDescent="0.35">
      <c r="A8" t="s">
        <v>57</v>
      </c>
      <c r="B8" s="1">
        <v>45675</v>
      </c>
      <c r="C8" t="s">
        <v>34</v>
      </c>
      <c r="D8" t="s">
        <v>58</v>
      </c>
      <c r="E8" t="s">
        <v>59</v>
      </c>
      <c r="F8" t="s">
        <v>60</v>
      </c>
      <c r="G8" t="s">
        <v>48</v>
      </c>
      <c r="H8">
        <v>35.700000000000003</v>
      </c>
      <c r="I8">
        <v>2.4</v>
      </c>
    </row>
    <row r="9" spans="1:11" x14ac:dyDescent="0.35">
      <c r="A9" t="s">
        <v>61</v>
      </c>
      <c r="B9" s="1">
        <v>45671</v>
      </c>
      <c r="C9" t="s">
        <v>41</v>
      </c>
      <c r="D9" t="s">
        <v>35</v>
      </c>
      <c r="E9" t="s">
        <v>36</v>
      </c>
      <c r="F9" t="s">
        <v>37</v>
      </c>
      <c r="G9" t="s">
        <v>44</v>
      </c>
      <c r="H9">
        <v>28.9</v>
      </c>
      <c r="I9">
        <v>2</v>
      </c>
    </row>
    <row r="10" spans="1:11" x14ac:dyDescent="0.35">
      <c r="A10" t="s">
        <v>62</v>
      </c>
      <c r="B10" s="1">
        <v>45743</v>
      </c>
      <c r="C10" t="s">
        <v>63</v>
      </c>
      <c r="D10" t="s">
        <v>46</v>
      </c>
      <c r="E10" t="s">
        <v>47</v>
      </c>
      <c r="F10" t="s">
        <v>51</v>
      </c>
      <c r="G10" t="s">
        <v>38</v>
      </c>
      <c r="H10">
        <v>48.7</v>
      </c>
      <c r="I10">
        <v>2.1</v>
      </c>
    </row>
    <row r="11" spans="1:11" x14ac:dyDescent="0.35">
      <c r="A11" t="s">
        <v>64</v>
      </c>
      <c r="B11" s="1">
        <v>45726</v>
      </c>
      <c r="C11" t="s">
        <v>65</v>
      </c>
      <c r="D11" t="s">
        <v>46</v>
      </c>
      <c r="E11" t="s">
        <v>36</v>
      </c>
      <c r="F11" t="s">
        <v>66</v>
      </c>
      <c r="G11" t="s">
        <v>67</v>
      </c>
      <c r="H11">
        <v>57.8</v>
      </c>
      <c r="I11">
        <v>3.4</v>
      </c>
    </row>
    <row r="12" spans="1:11" x14ac:dyDescent="0.35">
      <c r="A12" t="s">
        <v>68</v>
      </c>
      <c r="B12" s="1">
        <v>45669</v>
      </c>
      <c r="C12" t="s">
        <v>50</v>
      </c>
      <c r="D12" t="s">
        <v>58</v>
      </c>
      <c r="E12" t="s">
        <v>47</v>
      </c>
      <c r="F12" t="s">
        <v>37</v>
      </c>
      <c r="G12" t="s">
        <v>44</v>
      </c>
      <c r="H12">
        <v>52.6</v>
      </c>
      <c r="I12">
        <v>4.5</v>
      </c>
    </row>
    <row r="13" spans="1:11" x14ac:dyDescent="0.35">
      <c r="A13" t="s">
        <v>69</v>
      </c>
      <c r="B13" s="1">
        <v>45732</v>
      </c>
      <c r="C13" t="s">
        <v>41</v>
      </c>
      <c r="D13" t="s">
        <v>35</v>
      </c>
      <c r="E13" t="s">
        <v>47</v>
      </c>
      <c r="F13" t="s">
        <v>37</v>
      </c>
      <c r="G13" t="s">
        <v>44</v>
      </c>
      <c r="H13">
        <v>60.8</v>
      </c>
      <c r="I13">
        <v>3.2</v>
      </c>
    </row>
    <row r="14" spans="1:11" x14ac:dyDescent="0.35">
      <c r="A14" t="s">
        <v>70</v>
      </c>
      <c r="B14" s="1">
        <v>45712</v>
      </c>
      <c r="C14" t="s">
        <v>65</v>
      </c>
      <c r="D14" t="s">
        <v>58</v>
      </c>
      <c r="E14" t="s">
        <v>36</v>
      </c>
      <c r="F14" t="s">
        <v>60</v>
      </c>
      <c r="G14" t="s">
        <v>48</v>
      </c>
      <c r="H14">
        <v>66.3</v>
      </c>
      <c r="I14">
        <v>3.1</v>
      </c>
    </row>
    <row r="15" spans="1:11" x14ac:dyDescent="0.35">
      <c r="A15" t="s">
        <v>71</v>
      </c>
      <c r="B15" s="1">
        <v>45662</v>
      </c>
      <c r="C15" t="s">
        <v>54</v>
      </c>
      <c r="D15" t="s">
        <v>35</v>
      </c>
      <c r="E15" t="s">
        <v>47</v>
      </c>
      <c r="F15" t="s">
        <v>43</v>
      </c>
      <c r="G15" t="s">
        <v>38</v>
      </c>
      <c r="H15">
        <v>70.599999999999994</v>
      </c>
      <c r="I15">
        <v>1.8</v>
      </c>
    </row>
    <row r="16" spans="1:11" x14ac:dyDescent="0.35">
      <c r="A16" t="s">
        <v>72</v>
      </c>
      <c r="B16" s="1">
        <v>45661</v>
      </c>
      <c r="C16" t="s">
        <v>54</v>
      </c>
      <c r="D16" t="s">
        <v>35</v>
      </c>
      <c r="E16" t="s">
        <v>36</v>
      </c>
      <c r="F16" t="s">
        <v>60</v>
      </c>
      <c r="G16" t="s">
        <v>44</v>
      </c>
      <c r="H16">
        <v>39.200000000000003</v>
      </c>
      <c r="I16">
        <v>2</v>
      </c>
    </row>
    <row r="17" spans="1:9" x14ac:dyDescent="0.35">
      <c r="A17" t="s">
        <v>73</v>
      </c>
      <c r="B17" s="1">
        <v>45669</v>
      </c>
      <c r="C17" t="s">
        <v>65</v>
      </c>
      <c r="D17" t="s">
        <v>42</v>
      </c>
      <c r="E17" t="s">
        <v>59</v>
      </c>
      <c r="F17" t="s">
        <v>51</v>
      </c>
      <c r="G17" t="s">
        <v>38</v>
      </c>
      <c r="H17">
        <v>65.400000000000006</v>
      </c>
      <c r="I17">
        <v>2.6</v>
      </c>
    </row>
    <row r="18" spans="1:9" x14ac:dyDescent="0.35">
      <c r="A18" t="s">
        <v>74</v>
      </c>
      <c r="B18" s="1">
        <v>45685</v>
      </c>
      <c r="C18" t="s">
        <v>54</v>
      </c>
      <c r="D18" t="s">
        <v>46</v>
      </c>
      <c r="E18" t="s">
        <v>47</v>
      </c>
      <c r="F18" t="s">
        <v>66</v>
      </c>
      <c r="G18" t="s">
        <v>38</v>
      </c>
      <c r="H18">
        <v>43.2</v>
      </c>
      <c r="I18">
        <v>3.2</v>
      </c>
    </row>
    <row r="19" spans="1:9" x14ac:dyDescent="0.35">
      <c r="A19" t="s">
        <v>75</v>
      </c>
      <c r="B19" s="1">
        <v>45687</v>
      </c>
      <c r="C19" t="s">
        <v>41</v>
      </c>
      <c r="D19" t="s">
        <v>46</v>
      </c>
      <c r="E19" t="s">
        <v>47</v>
      </c>
      <c r="F19" t="s">
        <v>66</v>
      </c>
      <c r="G19" t="s">
        <v>38</v>
      </c>
      <c r="H19">
        <v>48.2</v>
      </c>
      <c r="I19">
        <v>2</v>
      </c>
    </row>
    <row r="20" spans="1:9" x14ac:dyDescent="0.35">
      <c r="A20" t="s">
        <v>76</v>
      </c>
      <c r="B20" s="1">
        <v>45721</v>
      </c>
      <c r="C20" t="s">
        <v>50</v>
      </c>
      <c r="D20" t="s">
        <v>42</v>
      </c>
      <c r="E20" t="s">
        <v>47</v>
      </c>
      <c r="F20" t="s">
        <v>51</v>
      </c>
      <c r="G20" t="s">
        <v>48</v>
      </c>
      <c r="H20">
        <v>7.4</v>
      </c>
      <c r="I20">
        <v>2.9</v>
      </c>
    </row>
    <row r="21" spans="1:9" x14ac:dyDescent="0.35">
      <c r="A21" t="s">
        <v>77</v>
      </c>
      <c r="B21" s="1">
        <v>45734</v>
      </c>
      <c r="C21" t="s">
        <v>41</v>
      </c>
      <c r="D21" t="s">
        <v>58</v>
      </c>
      <c r="E21" t="s">
        <v>47</v>
      </c>
      <c r="F21" t="s">
        <v>66</v>
      </c>
      <c r="G21" t="s">
        <v>38</v>
      </c>
      <c r="H21">
        <v>31.7</v>
      </c>
      <c r="I21">
        <v>3.8</v>
      </c>
    </row>
    <row r="22" spans="1:9" x14ac:dyDescent="0.35">
      <c r="A22" t="s">
        <v>78</v>
      </c>
      <c r="B22" s="1">
        <v>45661</v>
      </c>
      <c r="C22" t="s">
        <v>41</v>
      </c>
      <c r="D22" t="s">
        <v>42</v>
      </c>
      <c r="E22" t="s">
        <v>59</v>
      </c>
      <c r="F22" t="s">
        <v>60</v>
      </c>
      <c r="G22" t="s">
        <v>48</v>
      </c>
      <c r="H22">
        <v>62.6</v>
      </c>
      <c r="I22">
        <v>2.8</v>
      </c>
    </row>
    <row r="23" spans="1:9" x14ac:dyDescent="0.35">
      <c r="A23" t="s">
        <v>79</v>
      </c>
      <c r="B23" s="1">
        <v>45728</v>
      </c>
      <c r="C23" t="s">
        <v>65</v>
      </c>
      <c r="D23" t="s">
        <v>46</v>
      </c>
      <c r="E23" t="s">
        <v>59</v>
      </c>
      <c r="F23" t="s">
        <v>60</v>
      </c>
      <c r="G23" t="s">
        <v>67</v>
      </c>
      <c r="H23">
        <v>14.3</v>
      </c>
      <c r="I23">
        <v>1.1000000000000001</v>
      </c>
    </row>
    <row r="24" spans="1:9" x14ac:dyDescent="0.35">
      <c r="A24" t="s">
        <v>80</v>
      </c>
      <c r="B24" s="1">
        <v>45683</v>
      </c>
      <c r="C24" t="s">
        <v>63</v>
      </c>
      <c r="D24" t="s">
        <v>46</v>
      </c>
      <c r="E24" t="s">
        <v>36</v>
      </c>
      <c r="F24" t="s">
        <v>51</v>
      </c>
      <c r="G24" t="s">
        <v>44</v>
      </c>
      <c r="H24">
        <v>19.8</v>
      </c>
      <c r="I24">
        <v>2.2000000000000002</v>
      </c>
    </row>
    <row r="25" spans="1:9" x14ac:dyDescent="0.35">
      <c r="A25" t="s">
        <v>81</v>
      </c>
      <c r="B25" s="1">
        <v>45740</v>
      </c>
      <c r="C25" t="s">
        <v>63</v>
      </c>
      <c r="D25" t="s">
        <v>42</v>
      </c>
      <c r="E25" t="s">
        <v>47</v>
      </c>
      <c r="F25" t="s">
        <v>66</v>
      </c>
      <c r="G25" t="s">
        <v>44</v>
      </c>
      <c r="H25">
        <v>24.6</v>
      </c>
      <c r="I25">
        <v>2.6</v>
      </c>
    </row>
    <row r="26" spans="1:9" x14ac:dyDescent="0.35">
      <c r="A26" t="s">
        <v>82</v>
      </c>
      <c r="B26" s="1">
        <v>45746</v>
      </c>
      <c r="C26" t="s">
        <v>50</v>
      </c>
      <c r="D26" t="s">
        <v>42</v>
      </c>
      <c r="E26" t="s">
        <v>47</v>
      </c>
      <c r="F26" t="s">
        <v>37</v>
      </c>
      <c r="G26" t="s">
        <v>67</v>
      </c>
      <c r="H26">
        <v>33.6</v>
      </c>
      <c r="I26">
        <v>2</v>
      </c>
    </row>
    <row r="27" spans="1:9" x14ac:dyDescent="0.35">
      <c r="A27" t="s">
        <v>83</v>
      </c>
      <c r="B27" s="1">
        <v>45726</v>
      </c>
      <c r="C27" t="s">
        <v>65</v>
      </c>
      <c r="D27" t="s">
        <v>42</v>
      </c>
      <c r="E27" t="s">
        <v>59</v>
      </c>
      <c r="F27" t="s">
        <v>43</v>
      </c>
      <c r="G27" t="s">
        <v>48</v>
      </c>
      <c r="H27">
        <v>25.3</v>
      </c>
      <c r="I27">
        <v>3.7</v>
      </c>
    </row>
    <row r="28" spans="1:9" x14ac:dyDescent="0.35">
      <c r="A28" t="s">
        <v>84</v>
      </c>
      <c r="B28" s="1">
        <v>45711</v>
      </c>
      <c r="C28" t="s">
        <v>63</v>
      </c>
      <c r="D28" t="s">
        <v>46</v>
      </c>
      <c r="E28" t="s">
        <v>36</v>
      </c>
      <c r="F28" t="s">
        <v>37</v>
      </c>
      <c r="G28" t="s">
        <v>44</v>
      </c>
      <c r="H28">
        <v>63.5</v>
      </c>
      <c r="I28">
        <v>2.5</v>
      </c>
    </row>
    <row r="29" spans="1:9" x14ac:dyDescent="0.35">
      <c r="A29" t="s">
        <v>85</v>
      </c>
      <c r="B29" s="1">
        <v>45686</v>
      </c>
      <c r="C29" t="s">
        <v>54</v>
      </c>
      <c r="D29" t="s">
        <v>42</v>
      </c>
      <c r="E29" t="s">
        <v>59</v>
      </c>
      <c r="F29" t="s">
        <v>60</v>
      </c>
      <c r="G29" t="s">
        <v>48</v>
      </c>
      <c r="H29">
        <v>21.1</v>
      </c>
      <c r="I29">
        <v>3.2</v>
      </c>
    </row>
    <row r="30" spans="1:9" x14ac:dyDescent="0.35">
      <c r="A30" t="s">
        <v>86</v>
      </c>
      <c r="B30" s="1">
        <v>45715</v>
      </c>
      <c r="C30" t="s">
        <v>63</v>
      </c>
      <c r="D30" t="s">
        <v>42</v>
      </c>
      <c r="E30" t="s">
        <v>59</v>
      </c>
      <c r="F30" t="s">
        <v>60</v>
      </c>
      <c r="G30" t="s">
        <v>48</v>
      </c>
      <c r="H30">
        <v>68.599999999999994</v>
      </c>
      <c r="I30">
        <v>2.4</v>
      </c>
    </row>
    <row r="31" spans="1:9" x14ac:dyDescent="0.35">
      <c r="A31" t="s">
        <v>87</v>
      </c>
      <c r="B31" s="1">
        <v>45732</v>
      </c>
      <c r="C31" t="s">
        <v>54</v>
      </c>
      <c r="D31" t="s">
        <v>58</v>
      </c>
      <c r="E31" t="s">
        <v>36</v>
      </c>
      <c r="F31" t="s">
        <v>60</v>
      </c>
      <c r="G31" t="s">
        <v>48</v>
      </c>
      <c r="H31">
        <v>31.2</v>
      </c>
      <c r="I31">
        <v>5</v>
      </c>
    </row>
    <row r="32" spans="1:9" x14ac:dyDescent="0.35">
      <c r="A32" t="s">
        <v>88</v>
      </c>
      <c r="B32" s="1">
        <v>45693</v>
      </c>
      <c r="C32" t="s">
        <v>50</v>
      </c>
      <c r="D32" t="s">
        <v>42</v>
      </c>
      <c r="E32" t="s">
        <v>47</v>
      </c>
      <c r="F32" t="s">
        <v>60</v>
      </c>
      <c r="G32" t="s">
        <v>67</v>
      </c>
      <c r="H32">
        <v>60.4</v>
      </c>
      <c r="I32">
        <v>3.2</v>
      </c>
    </row>
    <row r="33" spans="1:9" x14ac:dyDescent="0.35">
      <c r="A33" t="s">
        <v>89</v>
      </c>
      <c r="B33" s="1">
        <v>45658</v>
      </c>
      <c r="C33" t="s">
        <v>41</v>
      </c>
      <c r="D33" t="s">
        <v>46</v>
      </c>
      <c r="E33" t="s">
        <v>47</v>
      </c>
      <c r="F33" t="s">
        <v>43</v>
      </c>
      <c r="G33" t="s">
        <v>67</v>
      </c>
      <c r="H33">
        <v>34.700000000000003</v>
      </c>
      <c r="I33">
        <v>2.4</v>
      </c>
    </row>
    <row r="34" spans="1:9" x14ac:dyDescent="0.35">
      <c r="A34" t="s">
        <v>90</v>
      </c>
      <c r="B34" s="1">
        <v>45678</v>
      </c>
      <c r="C34" t="s">
        <v>41</v>
      </c>
      <c r="D34" t="s">
        <v>58</v>
      </c>
      <c r="E34" t="s">
        <v>59</v>
      </c>
      <c r="F34" t="s">
        <v>51</v>
      </c>
      <c r="G34" t="s">
        <v>48</v>
      </c>
      <c r="H34">
        <v>54.3</v>
      </c>
      <c r="I34">
        <v>2.8</v>
      </c>
    </row>
    <row r="35" spans="1:9" x14ac:dyDescent="0.35">
      <c r="A35" t="s">
        <v>91</v>
      </c>
      <c r="B35" s="1">
        <v>45746</v>
      </c>
      <c r="C35" t="s">
        <v>63</v>
      </c>
      <c r="D35" t="s">
        <v>35</v>
      </c>
      <c r="E35" t="s">
        <v>59</v>
      </c>
      <c r="F35" t="s">
        <v>60</v>
      </c>
      <c r="G35" t="s">
        <v>38</v>
      </c>
      <c r="H35">
        <v>5.2</v>
      </c>
      <c r="I35">
        <v>2.2000000000000002</v>
      </c>
    </row>
    <row r="36" spans="1:9" x14ac:dyDescent="0.35">
      <c r="A36" t="s">
        <v>92</v>
      </c>
      <c r="B36" s="1">
        <v>45712</v>
      </c>
      <c r="C36" t="s">
        <v>54</v>
      </c>
      <c r="D36" t="s">
        <v>46</v>
      </c>
      <c r="E36" t="s">
        <v>59</v>
      </c>
      <c r="F36" t="s">
        <v>66</v>
      </c>
      <c r="G36" t="s">
        <v>67</v>
      </c>
      <c r="H36">
        <v>68.599999999999994</v>
      </c>
      <c r="I36">
        <v>1.9</v>
      </c>
    </row>
    <row r="37" spans="1:9" x14ac:dyDescent="0.35">
      <c r="A37" t="s">
        <v>93</v>
      </c>
      <c r="B37" s="1">
        <v>45701</v>
      </c>
      <c r="C37" t="s">
        <v>34</v>
      </c>
      <c r="D37" t="s">
        <v>46</v>
      </c>
      <c r="E37" t="s">
        <v>36</v>
      </c>
      <c r="F37" t="s">
        <v>43</v>
      </c>
      <c r="G37" t="s">
        <v>38</v>
      </c>
      <c r="H37">
        <v>17.3</v>
      </c>
      <c r="I37">
        <v>3.9</v>
      </c>
    </row>
    <row r="38" spans="1:9" x14ac:dyDescent="0.35">
      <c r="A38" t="s">
        <v>94</v>
      </c>
      <c r="B38" s="1">
        <v>45693</v>
      </c>
      <c r="C38" t="s">
        <v>34</v>
      </c>
      <c r="D38" t="s">
        <v>35</v>
      </c>
      <c r="E38" t="s">
        <v>36</v>
      </c>
      <c r="F38" t="s">
        <v>60</v>
      </c>
      <c r="G38" t="s">
        <v>38</v>
      </c>
      <c r="H38">
        <v>6.3</v>
      </c>
      <c r="I38">
        <v>2.2999999999999998</v>
      </c>
    </row>
    <row r="39" spans="1:9" x14ac:dyDescent="0.35">
      <c r="A39" t="s">
        <v>95</v>
      </c>
      <c r="B39" s="1">
        <v>45677</v>
      </c>
      <c r="C39" t="s">
        <v>34</v>
      </c>
      <c r="D39" t="s">
        <v>46</v>
      </c>
      <c r="E39" t="s">
        <v>59</v>
      </c>
      <c r="F39" t="s">
        <v>66</v>
      </c>
      <c r="G39" t="s">
        <v>48</v>
      </c>
      <c r="H39">
        <v>69</v>
      </c>
      <c r="I39">
        <v>4</v>
      </c>
    </row>
    <row r="40" spans="1:9" x14ac:dyDescent="0.35">
      <c r="A40" t="s">
        <v>96</v>
      </c>
      <c r="B40" s="1">
        <v>45685</v>
      </c>
      <c r="C40" t="s">
        <v>41</v>
      </c>
      <c r="D40" t="s">
        <v>35</v>
      </c>
      <c r="E40" t="s">
        <v>47</v>
      </c>
      <c r="F40" t="s">
        <v>60</v>
      </c>
      <c r="G40" t="s">
        <v>38</v>
      </c>
      <c r="H40">
        <v>4.3</v>
      </c>
      <c r="I40">
        <v>4.8</v>
      </c>
    </row>
    <row r="41" spans="1:9" x14ac:dyDescent="0.35">
      <c r="A41" t="s">
        <v>97</v>
      </c>
      <c r="B41" s="1">
        <v>45701</v>
      </c>
      <c r="C41" t="s">
        <v>65</v>
      </c>
      <c r="D41" t="s">
        <v>35</v>
      </c>
      <c r="E41" t="s">
        <v>47</v>
      </c>
      <c r="F41" t="s">
        <v>51</v>
      </c>
      <c r="G41" t="s">
        <v>38</v>
      </c>
      <c r="H41">
        <v>3.7</v>
      </c>
      <c r="I41">
        <v>3.8</v>
      </c>
    </row>
    <row r="42" spans="1:9" x14ac:dyDescent="0.35">
      <c r="A42" t="s">
        <v>98</v>
      </c>
      <c r="B42" s="1">
        <v>45671</v>
      </c>
      <c r="C42" t="s">
        <v>41</v>
      </c>
      <c r="D42" t="s">
        <v>46</v>
      </c>
      <c r="E42" t="s">
        <v>36</v>
      </c>
      <c r="F42" t="s">
        <v>43</v>
      </c>
      <c r="G42" t="s">
        <v>38</v>
      </c>
      <c r="H42">
        <v>18.899999999999999</v>
      </c>
      <c r="I42">
        <v>1.8</v>
      </c>
    </row>
    <row r="43" spans="1:9" x14ac:dyDescent="0.35">
      <c r="A43" t="s">
        <v>99</v>
      </c>
      <c r="B43" s="1">
        <v>45669</v>
      </c>
      <c r="C43" t="s">
        <v>65</v>
      </c>
      <c r="D43" t="s">
        <v>42</v>
      </c>
      <c r="E43" t="s">
        <v>36</v>
      </c>
      <c r="F43" t="s">
        <v>51</v>
      </c>
      <c r="G43" t="s">
        <v>48</v>
      </c>
      <c r="H43">
        <v>60.7</v>
      </c>
      <c r="I43">
        <v>4</v>
      </c>
    </row>
    <row r="44" spans="1:9" x14ac:dyDescent="0.35">
      <c r="A44" t="s">
        <v>100</v>
      </c>
      <c r="B44" s="1">
        <v>45706</v>
      </c>
      <c r="C44" t="s">
        <v>54</v>
      </c>
      <c r="D44" t="s">
        <v>42</v>
      </c>
      <c r="E44" t="s">
        <v>47</v>
      </c>
      <c r="F44" t="s">
        <v>43</v>
      </c>
      <c r="G44" t="s">
        <v>48</v>
      </c>
      <c r="H44">
        <v>45.3</v>
      </c>
      <c r="I44">
        <v>2.1</v>
      </c>
    </row>
    <row r="45" spans="1:9" x14ac:dyDescent="0.35">
      <c r="A45" t="s">
        <v>101</v>
      </c>
      <c r="B45" s="1">
        <v>45670</v>
      </c>
      <c r="C45" t="s">
        <v>63</v>
      </c>
      <c r="D45" t="s">
        <v>35</v>
      </c>
      <c r="E45" t="s">
        <v>36</v>
      </c>
      <c r="F45" t="s">
        <v>60</v>
      </c>
      <c r="G45" t="s">
        <v>67</v>
      </c>
      <c r="H45">
        <v>18.3</v>
      </c>
      <c r="I45">
        <v>3.4</v>
      </c>
    </row>
    <row r="46" spans="1:9" x14ac:dyDescent="0.35">
      <c r="A46" t="s">
        <v>102</v>
      </c>
      <c r="B46" s="1">
        <v>45703</v>
      </c>
      <c r="C46" t="s">
        <v>34</v>
      </c>
      <c r="D46" t="s">
        <v>58</v>
      </c>
      <c r="E46" t="s">
        <v>47</v>
      </c>
      <c r="F46" t="s">
        <v>60</v>
      </c>
      <c r="G46" t="s">
        <v>67</v>
      </c>
      <c r="H46">
        <v>34.9</v>
      </c>
      <c r="I46">
        <v>4</v>
      </c>
    </row>
    <row r="47" spans="1:9" x14ac:dyDescent="0.35">
      <c r="A47" t="s">
        <v>103</v>
      </c>
      <c r="B47" s="1">
        <v>45702</v>
      </c>
      <c r="C47" t="s">
        <v>54</v>
      </c>
      <c r="D47" t="s">
        <v>35</v>
      </c>
      <c r="E47" t="s">
        <v>59</v>
      </c>
      <c r="F47" t="s">
        <v>43</v>
      </c>
      <c r="G47" t="s">
        <v>38</v>
      </c>
      <c r="H47">
        <v>9.6</v>
      </c>
      <c r="I47">
        <v>3.4</v>
      </c>
    </row>
    <row r="48" spans="1:9" x14ac:dyDescent="0.35">
      <c r="A48" t="s">
        <v>104</v>
      </c>
      <c r="B48" s="1">
        <v>45734</v>
      </c>
      <c r="C48" t="s">
        <v>54</v>
      </c>
      <c r="D48" t="s">
        <v>35</v>
      </c>
      <c r="E48" t="s">
        <v>36</v>
      </c>
      <c r="F48" t="s">
        <v>66</v>
      </c>
      <c r="G48" t="s">
        <v>48</v>
      </c>
      <c r="H48">
        <v>68.3</v>
      </c>
      <c r="I48">
        <v>4.9000000000000004</v>
      </c>
    </row>
    <row r="49" spans="1:9" x14ac:dyDescent="0.35">
      <c r="A49" t="s">
        <v>105</v>
      </c>
      <c r="B49" s="1">
        <v>45691</v>
      </c>
      <c r="C49" t="s">
        <v>63</v>
      </c>
      <c r="D49" t="s">
        <v>35</v>
      </c>
      <c r="E49" t="s">
        <v>59</v>
      </c>
      <c r="F49" t="s">
        <v>66</v>
      </c>
      <c r="G49" t="s">
        <v>48</v>
      </c>
      <c r="H49">
        <v>34.299999999999997</v>
      </c>
      <c r="I49">
        <v>4.3</v>
      </c>
    </row>
    <row r="50" spans="1:9" x14ac:dyDescent="0.35">
      <c r="A50" t="s">
        <v>106</v>
      </c>
      <c r="B50" s="1">
        <v>45663</v>
      </c>
      <c r="C50" t="s">
        <v>54</v>
      </c>
      <c r="D50" t="s">
        <v>42</v>
      </c>
      <c r="E50" t="s">
        <v>36</v>
      </c>
      <c r="F50" t="s">
        <v>60</v>
      </c>
      <c r="G50" t="s">
        <v>38</v>
      </c>
      <c r="H50">
        <v>19.600000000000001</v>
      </c>
      <c r="I50">
        <v>2.2000000000000002</v>
      </c>
    </row>
    <row r="51" spans="1:9" x14ac:dyDescent="0.35">
      <c r="A51" t="s">
        <v>107</v>
      </c>
      <c r="B51" s="1">
        <v>45716</v>
      </c>
      <c r="C51" t="s">
        <v>63</v>
      </c>
      <c r="D51" t="s">
        <v>42</v>
      </c>
      <c r="E51" t="s">
        <v>36</v>
      </c>
      <c r="F51" t="s">
        <v>60</v>
      </c>
      <c r="G51" t="s">
        <v>67</v>
      </c>
      <c r="H51">
        <v>27.5</v>
      </c>
      <c r="I51">
        <v>2.4</v>
      </c>
    </row>
    <row r="52" spans="1:9" x14ac:dyDescent="0.35">
      <c r="A52" t="s">
        <v>108</v>
      </c>
      <c r="B52" s="1">
        <v>45725</v>
      </c>
      <c r="C52" t="s">
        <v>50</v>
      </c>
      <c r="D52" t="s">
        <v>42</v>
      </c>
      <c r="E52" t="s">
        <v>59</v>
      </c>
      <c r="F52" t="s">
        <v>51</v>
      </c>
      <c r="G52" t="s">
        <v>48</v>
      </c>
      <c r="H52">
        <v>44.2</v>
      </c>
      <c r="I52">
        <v>2.2000000000000002</v>
      </c>
    </row>
    <row r="53" spans="1:9" x14ac:dyDescent="0.35">
      <c r="A53" t="s">
        <v>109</v>
      </c>
      <c r="B53" s="1">
        <v>45673</v>
      </c>
      <c r="C53" t="s">
        <v>63</v>
      </c>
      <c r="D53" t="s">
        <v>35</v>
      </c>
      <c r="E53" t="s">
        <v>59</v>
      </c>
      <c r="F53" t="s">
        <v>60</v>
      </c>
      <c r="G53" t="s">
        <v>67</v>
      </c>
      <c r="H53">
        <v>69.400000000000006</v>
      </c>
      <c r="I53">
        <v>3.8</v>
      </c>
    </row>
    <row r="54" spans="1:9" x14ac:dyDescent="0.35">
      <c r="A54" t="s">
        <v>110</v>
      </c>
      <c r="B54" s="1">
        <v>45706</v>
      </c>
      <c r="C54" t="s">
        <v>34</v>
      </c>
      <c r="D54" t="s">
        <v>58</v>
      </c>
      <c r="E54" t="s">
        <v>36</v>
      </c>
      <c r="F54" t="s">
        <v>43</v>
      </c>
      <c r="G54" t="s">
        <v>38</v>
      </c>
      <c r="H54">
        <v>52.1</v>
      </c>
      <c r="I54">
        <v>1.5</v>
      </c>
    </row>
    <row r="55" spans="1:9" x14ac:dyDescent="0.35">
      <c r="A55" t="s">
        <v>111</v>
      </c>
      <c r="B55" s="1">
        <v>45668</v>
      </c>
      <c r="C55" t="s">
        <v>65</v>
      </c>
      <c r="D55" t="s">
        <v>42</v>
      </c>
      <c r="E55" t="s">
        <v>59</v>
      </c>
      <c r="F55" t="s">
        <v>66</v>
      </c>
      <c r="G55" t="s">
        <v>48</v>
      </c>
      <c r="H55">
        <v>56.3</v>
      </c>
      <c r="I55">
        <v>1.2</v>
      </c>
    </row>
    <row r="56" spans="1:9" x14ac:dyDescent="0.35">
      <c r="A56" t="s">
        <v>112</v>
      </c>
      <c r="B56" s="1">
        <v>45727</v>
      </c>
      <c r="C56" t="s">
        <v>65</v>
      </c>
      <c r="D56" t="s">
        <v>46</v>
      </c>
      <c r="E56" t="s">
        <v>47</v>
      </c>
      <c r="F56" t="s">
        <v>66</v>
      </c>
      <c r="G56" t="s">
        <v>38</v>
      </c>
      <c r="H56">
        <v>13</v>
      </c>
      <c r="I56">
        <v>1.2</v>
      </c>
    </row>
    <row r="57" spans="1:9" x14ac:dyDescent="0.35">
      <c r="A57" t="s">
        <v>113</v>
      </c>
      <c r="B57" s="1">
        <v>45695</v>
      </c>
      <c r="C57" t="s">
        <v>34</v>
      </c>
      <c r="D57" t="s">
        <v>46</v>
      </c>
      <c r="E57" t="s">
        <v>47</v>
      </c>
      <c r="F57" t="s">
        <v>51</v>
      </c>
      <c r="G57" t="s">
        <v>44</v>
      </c>
      <c r="H57">
        <v>23.4</v>
      </c>
      <c r="I57">
        <v>2.2000000000000002</v>
      </c>
    </row>
    <row r="58" spans="1:9" x14ac:dyDescent="0.35">
      <c r="A58" t="s">
        <v>114</v>
      </c>
      <c r="B58" s="1">
        <v>45737</v>
      </c>
      <c r="C58" t="s">
        <v>65</v>
      </c>
      <c r="D58" t="s">
        <v>46</v>
      </c>
      <c r="E58" t="s">
        <v>59</v>
      </c>
      <c r="F58" t="s">
        <v>66</v>
      </c>
      <c r="G58" t="s">
        <v>38</v>
      </c>
      <c r="H58">
        <v>42.3</v>
      </c>
      <c r="I58">
        <v>4.8</v>
      </c>
    </row>
    <row r="59" spans="1:9" x14ac:dyDescent="0.35">
      <c r="A59" t="s">
        <v>115</v>
      </c>
      <c r="B59" s="1">
        <v>45736</v>
      </c>
      <c r="C59" t="s">
        <v>63</v>
      </c>
      <c r="D59" t="s">
        <v>35</v>
      </c>
      <c r="E59" t="s">
        <v>47</v>
      </c>
      <c r="F59" t="s">
        <v>66</v>
      </c>
      <c r="G59" t="s">
        <v>38</v>
      </c>
      <c r="H59">
        <v>67</v>
      </c>
      <c r="I59">
        <v>3.6</v>
      </c>
    </row>
    <row r="60" spans="1:9" x14ac:dyDescent="0.35">
      <c r="A60" t="s">
        <v>116</v>
      </c>
      <c r="B60" s="1">
        <v>45704</v>
      </c>
      <c r="C60" t="s">
        <v>50</v>
      </c>
      <c r="D60" t="s">
        <v>46</v>
      </c>
      <c r="E60" t="s">
        <v>47</v>
      </c>
      <c r="F60" t="s">
        <v>37</v>
      </c>
      <c r="G60" t="s">
        <v>38</v>
      </c>
      <c r="H60">
        <v>42.1</v>
      </c>
      <c r="I60">
        <v>4</v>
      </c>
    </row>
    <row r="61" spans="1:9" x14ac:dyDescent="0.35">
      <c r="A61" t="s">
        <v>117</v>
      </c>
      <c r="B61" s="1">
        <v>45730</v>
      </c>
      <c r="C61" t="s">
        <v>65</v>
      </c>
      <c r="D61" t="s">
        <v>35</v>
      </c>
      <c r="E61" t="s">
        <v>47</v>
      </c>
      <c r="F61" t="s">
        <v>43</v>
      </c>
      <c r="G61" t="s">
        <v>48</v>
      </c>
      <c r="H61">
        <v>65.5</v>
      </c>
      <c r="I61">
        <v>1.4</v>
      </c>
    </row>
    <row r="62" spans="1:9" x14ac:dyDescent="0.35">
      <c r="A62" t="s">
        <v>118</v>
      </c>
      <c r="B62" s="1">
        <v>45682</v>
      </c>
      <c r="C62" t="s">
        <v>50</v>
      </c>
      <c r="D62" t="s">
        <v>46</v>
      </c>
      <c r="E62" t="s">
        <v>36</v>
      </c>
      <c r="F62" t="s">
        <v>37</v>
      </c>
      <c r="G62" t="s">
        <v>38</v>
      </c>
      <c r="H62">
        <v>28</v>
      </c>
      <c r="I62">
        <v>1</v>
      </c>
    </row>
    <row r="63" spans="1:9" x14ac:dyDescent="0.35">
      <c r="A63" t="s">
        <v>119</v>
      </c>
      <c r="B63" s="1">
        <v>45747</v>
      </c>
      <c r="C63" t="s">
        <v>34</v>
      </c>
      <c r="D63" t="s">
        <v>58</v>
      </c>
      <c r="E63" t="s">
        <v>47</v>
      </c>
      <c r="F63" t="s">
        <v>66</v>
      </c>
      <c r="G63" t="s">
        <v>38</v>
      </c>
      <c r="H63">
        <v>67.900000000000006</v>
      </c>
      <c r="I63">
        <v>2.1</v>
      </c>
    </row>
    <row r="64" spans="1:9" x14ac:dyDescent="0.35">
      <c r="A64" t="s">
        <v>120</v>
      </c>
      <c r="B64" s="1">
        <v>45666</v>
      </c>
      <c r="C64" t="s">
        <v>50</v>
      </c>
      <c r="D64" t="s">
        <v>35</v>
      </c>
      <c r="E64" t="s">
        <v>47</v>
      </c>
      <c r="F64" t="s">
        <v>51</v>
      </c>
      <c r="G64" t="s">
        <v>44</v>
      </c>
      <c r="H64">
        <v>15.5</v>
      </c>
      <c r="I64">
        <v>2.9</v>
      </c>
    </row>
    <row r="65" spans="1:9" x14ac:dyDescent="0.35">
      <c r="A65" t="s">
        <v>121</v>
      </c>
      <c r="B65" s="1">
        <v>45663</v>
      </c>
      <c r="C65" t="s">
        <v>54</v>
      </c>
      <c r="D65" t="s">
        <v>46</v>
      </c>
      <c r="E65" t="s">
        <v>59</v>
      </c>
      <c r="F65" t="s">
        <v>51</v>
      </c>
      <c r="G65" t="s">
        <v>48</v>
      </c>
      <c r="H65">
        <v>43.2</v>
      </c>
      <c r="I65">
        <v>2.4</v>
      </c>
    </row>
    <row r="66" spans="1:9" x14ac:dyDescent="0.35">
      <c r="A66" t="s">
        <v>122</v>
      </c>
      <c r="B66" s="1">
        <v>45741</v>
      </c>
      <c r="C66" t="s">
        <v>41</v>
      </c>
      <c r="D66" t="s">
        <v>42</v>
      </c>
      <c r="E66" t="s">
        <v>47</v>
      </c>
      <c r="F66" t="s">
        <v>66</v>
      </c>
      <c r="G66" t="s">
        <v>44</v>
      </c>
      <c r="H66">
        <v>60.1</v>
      </c>
      <c r="I66">
        <v>4.9000000000000004</v>
      </c>
    </row>
    <row r="67" spans="1:9" x14ac:dyDescent="0.35">
      <c r="A67" t="s">
        <v>123</v>
      </c>
      <c r="B67" s="1">
        <v>45687</v>
      </c>
      <c r="C67" t="s">
        <v>54</v>
      </c>
      <c r="D67" t="s">
        <v>35</v>
      </c>
      <c r="E67" t="s">
        <v>36</v>
      </c>
      <c r="F67" t="s">
        <v>60</v>
      </c>
      <c r="G67" t="s">
        <v>38</v>
      </c>
      <c r="H67">
        <v>18.600000000000001</v>
      </c>
      <c r="I67">
        <v>2</v>
      </c>
    </row>
    <row r="68" spans="1:9" x14ac:dyDescent="0.35">
      <c r="A68" t="s">
        <v>124</v>
      </c>
      <c r="B68" s="1">
        <v>45695</v>
      </c>
      <c r="C68" t="s">
        <v>34</v>
      </c>
      <c r="D68" t="s">
        <v>42</v>
      </c>
      <c r="E68" t="s">
        <v>36</v>
      </c>
      <c r="F68" t="s">
        <v>37</v>
      </c>
      <c r="G68" t="s">
        <v>48</v>
      </c>
      <c r="H68">
        <v>50.7</v>
      </c>
      <c r="I68">
        <v>4.4000000000000004</v>
      </c>
    </row>
    <row r="69" spans="1:9" x14ac:dyDescent="0.35">
      <c r="A69" t="s">
        <v>125</v>
      </c>
      <c r="B69" s="1">
        <v>45668</v>
      </c>
      <c r="C69" t="s">
        <v>65</v>
      </c>
      <c r="D69" t="s">
        <v>42</v>
      </c>
      <c r="E69" t="s">
        <v>59</v>
      </c>
      <c r="F69" t="s">
        <v>66</v>
      </c>
      <c r="G69" t="s">
        <v>44</v>
      </c>
      <c r="H69">
        <v>22.8</v>
      </c>
      <c r="I69">
        <v>1.5</v>
      </c>
    </row>
    <row r="70" spans="1:9" x14ac:dyDescent="0.35">
      <c r="A70" t="s">
        <v>126</v>
      </c>
      <c r="B70" s="1">
        <v>45687</v>
      </c>
      <c r="C70" t="s">
        <v>65</v>
      </c>
      <c r="D70" t="s">
        <v>42</v>
      </c>
      <c r="E70" t="s">
        <v>36</v>
      </c>
      <c r="F70" t="s">
        <v>51</v>
      </c>
      <c r="G70" t="s">
        <v>38</v>
      </c>
      <c r="H70">
        <v>49.7</v>
      </c>
      <c r="I70">
        <v>1.3</v>
      </c>
    </row>
    <row r="71" spans="1:9" x14ac:dyDescent="0.35">
      <c r="A71" t="s">
        <v>127</v>
      </c>
      <c r="B71" s="1">
        <v>45670</v>
      </c>
      <c r="C71" t="s">
        <v>50</v>
      </c>
      <c r="D71" t="s">
        <v>42</v>
      </c>
      <c r="E71" t="s">
        <v>36</v>
      </c>
      <c r="F71" t="s">
        <v>51</v>
      </c>
      <c r="G71" t="s">
        <v>67</v>
      </c>
      <c r="H71">
        <v>58.3</v>
      </c>
      <c r="I71">
        <v>3</v>
      </c>
    </row>
    <row r="72" spans="1:9" x14ac:dyDescent="0.35">
      <c r="A72" t="s">
        <v>128</v>
      </c>
      <c r="B72" s="1">
        <v>45706</v>
      </c>
      <c r="C72" t="s">
        <v>63</v>
      </c>
      <c r="D72" t="s">
        <v>46</v>
      </c>
      <c r="E72" t="s">
        <v>47</v>
      </c>
      <c r="F72" t="s">
        <v>37</v>
      </c>
      <c r="G72" t="s">
        <v>44</v>
      </c>
      <c r="H72">
        <v>57.6</v>
      </c>
      <c r="I72">
        <v>3.3</v>
      </c>
    </row>
    <row r="73" spans="1:9" x14ac:dyDescent="0.35">
      <c r="A73" t="s">
        <v>129</v>
      </c>
      <c r="B73" s="1">
        <v>45693</v>
      </c>
      <c r="C73" t="s">
        <v>41</v>
      </c>
      <c r="D73" t="s">
        <v>46</v>
      </c>
      <c r="E73" t="s">
        <v>47</v>
      </c>
      <c r="F73" t="s">
        <v>43</v>
      </c>
      <c r="G73" t="s">
        <v>48</v>
      </c>
      <c r="H73">
        <v>41.4</v>
      </c>
      <c r="I73">
        <v>3.7</v>
      </c>
    </row>
    <row r="74" spans="1:9" x14ac:dyDescent="0.35">
      <c r="A74" t="s">
        <v>130</v>
      </c>
      <c r="B74" s="1">
        <v>45716</v>
      </c>
      <c r="C74" t="s">
        <v>63</v>
      </c>
      <c r="D74" t="s">
        <v>35</v>
      </c>
      <c r="E74" t="s">
        <v>36</v>
      </c>
      <c r="F74" t="s">
        <v>66</v>
      </c>
      <c r="G74" t="s">
        <v>44</v>
      </c>
      <c r="H74">
        <v>4.4000000000000004</v>
      </c>
      <c r="I74">
        <v>1.6</v>
      </c>
    </row>
    <row r="75" spans="1:9" x14ac:dyDescent="0.35">
      <c r="A75" t="s">
        <v>131</v>
      </c>
      <c r="B75" s="1">
        <v>45738</v>
      </c>
      <c r="C75" t="s">
        <v>34</v>
      </c>
      <c r="D75" t="s">
        <v>35</v>
      </c>
      <c r="E75" t="s">
        <v>59</v>
      </c>
      <c r="F75" t="s">
        <v>66</v>
      </c>
      <c r="G75" t="s">
        <v>44</v>
      </c>
      <c r="H75">
        <v>39.1</v>
      </c>
      <c r="I75">
        <v>4.2</v>
      </c>
    </row>
    <row r="76" spans="1:9" x14ac:dyDescent="0.35">
      <c r="A76" t="s">
        <v>132</v>
      </c>
      <c r="B76" s="1">
        <v>45704</v>
      </c>
      <c r="C76" t="s">
        <v>65</v>
      </c>
      <c r="D76" t="s">
        <v>35</v>
      </c>
      <c r="E76" t="s">
        <v>59</v>
      </c>
      <c r="F76" t="s">
        <v>43</v>
      </c>
      <c r="G76" t="s">
        <v>44</v>
      </c>
      <c r="H76">
        <v>48.1</v>
      </c>
      <c r="I76">
        <v>4.8</v>
      </c>
    </row>
    <row r="77" spans="1:9" x14ac:dyDescent="0.35">
      <c r="A77" t="s">
        <v>133</v>
      </c>
      <c r="B77" s="1">
        <v>45678</v>
      </c>
      <c r="C77" t="s">
        <v>50</v>
      </c>
      <c r="D77" t="s">
        <v>46</v>
      </c>
      <c r="E77" t="s">
        <v>47</v>
      </c>
      <c r="F77" t="s">
        <v>37</v>
      </c>
      <c r="G77" t="s">
        <v>67</v>
      </c>
      <c r="H77">
        <v>6.4</v>
      </c>
      <c r="I77">
        <v>1.3</v>
      </c>
    </row>
    <row r="78" spans="1:9" x14ac:dyDescent="0.35">
      <c r="A78" t="s">
        <v>134</v>
      </c>
      <c r="B78" s="1">
        <v>45705</v>
      </c>
      <c r="C78" t="s">
        <v>65</v>
      </c>
      <c r="D78" t="s">
        <v>35</v>
      </c>
      <c r="E78" t="s">
        <v>36</v>
      </c>
      <c r="F78" t="s">
        <v>37</v>
      </c>
      <c r="G78" t="s">
        <v>48</v>
      </c>
      <c r="H78">
        <v>47.2</v>
      </c>
      <c r="I78">
        <v>2</v>
      </c>
    </row>
    <row r="79" spans="1:9" x14ac:dyDescent="0.35">
      <c r="A79" t="s">
        <v>135</v>
      </c>
      <c r="B79" s="1">
        <v>45703</v>
      </c>
      <c r="C79" t="s">
        <v>63</v>
      </c>
      <c r="D79" t="s">
        <v>42</v>
      </c>
      <c r="E79" t="s">
        <v>47</v>
      </c>
      <c r="F79" t="s">
        <v>51</v>
      </c>
      <c r="G79" t="s">
        <v>48</v>
      </c>
      <c r="H79">
        <v>2.4</v>
      </c>
      <c r="I79">
        <v>3.2</v>
      </c>
    </row>
    <row r="80" spans="1:9" x14ac:dyDescent="0.35">
      <c r="A80" t="s">
        <v>136</v>
      </c>
      <c r="B80" s="1">
        <v>45684</v>
      </c>
      <c r="C80" t="s">
        <v>63</v>
      </c>
      <c r="D80" t="s">
        <v>46</v>
      </c>
      <c r="E80" t="s">
        <v>59</v>
      </c>
      <c r="F80" t="s">
        <v>43</v>
      </c>
      <c r="G80" t="s">
        <v>48</v>
      </c>
      <c r="H80">
        <v>31.1</v>
      </c>
      <c r="I80">
        <v>2.7</v>
      </c>
    </row>
    <row r="81" spans="1:9" x14ac:dyDescent="0.35">
      <c r="A81" t="s">
        <v>137</v>
      </c>
      <c r="B81" s="1">
        <v>45742</v>
      </c>
      <c r="C81" t="s">
        <v>41</v>
      </c>
      <c r="D81" t="s">
        <v>35</v>
      </c>
      <c r="E81" t="s">
        <v>36</v>
      </c>
      <c r="F81" t="s">
        <v>37</v>
      </c>
      <c r="G81" t="s">
        <v>38</v>
      </c>
      <c r="H81">
        <v>36.1</v>
      </c>
      <c r="I81">
        <v>3.4</v>
      </c>
    </row>
    <row r="82" spans="1:9" x14ac:dyDescent="0.35">
      <c r="A82" t="s">
        <v>138</v>
      </c>
      <c r="B82" s="1">
        <v>45692</v>
      </c>
      <c r="C82" t="s">
        <v>41</v>
      </c>
      <c r="D82" t="s">
        <v>42</v>
      </c>
      <c r="E82" t="s">
        <v>47</v>
      </c>
      <c r="F82" t="s">
        <v>60</v>
      </c>
      <c r="G82" t="s">
        <v>48</v>
      </c>
      <c r="H82">
        <v>32.1</v>
      </c>
      <c r="I82">
        <v>3.5</v>
      </c>
    </row>
    <row r="83" spans="1:9" x14ac:dyDescent="0.35">
      <c r="A83" t="s">
        <v>139</v>
      </c>
      <c r="B83" s="1">
        <v>45746</v>
      </c>
      <c r="C83" t="s">
        <v>50</v>
      </c>
      <c r="D83" t="s">
        <v>35</v>
      </c>
      <c r="E83" t="s">
        <v>47</v>
      </c>
      <c r="F83" t="s">
        <v>66</v>
      </c>
      <c r="G83" t="s">
        <v>48</v>
      </c>
      <c r="H83">
        <v>27</v>
      </c>
      <c r="I83">
        <v>4.0999999999999996</v>
      </c>
    </row>
    <row r="84" spans="1:9" x14ac:dyDescent="0.35">
      <c r="A84" t="s">
        <v>140</v>
      </c>
      <c r="B84" s="1">
        <v>45744</v>
      </c>
      <c r="C84" t="s">
        <v>41</v>
      </c>
      <c r="D84" t="s">
        <v>58</v>
      </c>
      <c r="E84" t="s">
        <v>59</v>
      </c>
      <c r="F84" t="s">
        <v>51</v>
      </c>
      <c r="G84" t="s">
        <v>67</v>
      </c>
      <c r="H84">
        <v>64.400000000000006</v>
      </c>
      <c r="I84">
        <v>2.5</v>
      </c>
    </row>
    <row r="85" spans="1:9" x14ac:dyDescent="0.35">
      <c r="A85" t="s">
        <v>141</v>
      </c>
      <c r="B85" s="1">
        <v>45739</v>
      </c>
      <c r="C85" t="s">
        <v>63</v>
      </c>
      <c r="D85" t="s">
        <v>35</v>
      </c>
      <c r="E85" t="s">
        <v>47</v>
      </c>
      <c r="F85" t="s">
        <v>43</v>
      </c>
      <c r="G85" t="s">
        <v>38</v>
      </c>
      <c r="H85">
        <v>33.9</v>
      </c>
      <c r="I85">
        <v>4.5999999999999996</v>
      </c>
    </row>
    <row r="86" spans="1:9" x14ac:dyDescent="0.35">
      <c r="A86" t="s">
        <v>142</v>
      </c>
      <c r="B86" s="1">
        <v>45667</v>
      </c>
      <c r="C86" t="s">
        <v>63</v>
      </c>
      <c r="D86" t="s">
        <v>58</v>
      </c>
      <c r="E86" t="s">
        <v>59</v>
      </c>
      <c r="F86" t="s">
        <v>51</v>
      </c>
      <c r="G86" t="s">
        <v>38</v>
      </c>
      <c r="H86">
        <v>12.3</v>
      </c>
      <c r="I86">
        <v>2.2000000000000002</v>
      </c>
    </row>
    <row r="87" spans="1:9" x14ac:dyDescent="0.35">
      <c r="A87" t="s">
        <v>143</v>
      </c>
      <c r="B87" s="1">
        <v>45734</v>
      </c>
      <c r="C87" t="s">
        <v>34</v>
      </c>
      <c r="D87" t="s">
        <v>35</v>
      </c>
      <c r="E87" t="s">
        <v>59</v>
      </c>
      <c r="F87" t="s">
        <v>37</v>
      </c>
      <c r="G87" t="s">
        <v>44</v>
      </c>
      <c r="H87">
        <v>13.9</v>
      </c>
      <c r="I87">
        <v>3.4</v>
      </c>
    </row>
    <row r="88" spans="1:9" x14ac:dyDescent="0.35">
      <c r="A88" t="s">
        <v>144</v>
      </c>
      <c r="B88" s="1">
        <v>45738</v>
      </c>
      <c r="C88" t="s">
        <v>63</v>
      </c>
      <c r="D88" t="s">
        <v>35</v>
      </c>
      <c r="E88" t="s">
        <v>36</v>
      </c>
      <c r="F88" t="s">
        <v>37</v>
      </c>
      <c r="G88" t="s">
        <v>38</v>
      </c>
      <c r="H88">
        <v>38.299999999999997</v>
      </c>
      <c r="I88">
        <v>2.7</v>
      </c>
    </row>
    <row r="89" spans="1:9" x14ac:dyDescent="0.35">
      <c r="A89" t="s">
        <v>145</v>
      </c>
      <c r="B89" s="1">
        <v>45679</v>
      </c>
      <c r="C89" t="s">
        <v>50</v>
      </c>
      <c r="D89" t="s">
        <v>46</v>
      </c>
      <c r="E89" t="s">
        <v>36</v>
      </c>
      <c r="F89" t="s">
        <v>60</v>
      </c>
      <c r="G89" t="s">
        <v>38</v>
      </c>
      <c r="H89">
        <v>47.4</v>
      </c>
      <c r="I89">
        <v>3.3</v>
      </c>
    </row>
    <row r="90" spans="1:9" x14ac:dyDescent="0.35">
      <c r="A90" t="s">
        <v>146</v>
      </c>
      <c r="B90" s="1">
        <v>45725</v>
      </c>
      <c r="C90" t="s">
        <v>54</v>
      </c>
      <c r="D90" t="s">
        <v>46</v>
      </c>
      <c r="E90" t="s">
        <v>47</v>
      </c>
      <c r="F90" t="s">
        <v>66</v>
      </c>
      <c r="G90" t="s">
        <v>67</v>
      </c>
      <c r="H90">
        <v>44.9</v>
      </c>
      <c r="I90">
        <v>1.2</v>
      </c>
    </row>
    <row r="91" spans="1:9" x14ac:dyDescent="0.35">
      <c r="A91" t="s">
        <v>147</v>
      </c>
      <c r="B91" s="1">
        <v>45689</v>
      </c>
      <c r="C91" t="s">
        <v>34</v>
      </c>
      <c r="D91" t="s">
        <v>58</v>
      </c>
      <c r="E91" t="s">
        <v>59</v>
      </c>
      <c r="F91" t="s">
        <v>43</v>
      </c>
      <c r="G91" t="s">
        <v>48</v>
      </c>
      <c r="H91">
        <v>66.3</v>
      </c>
      <c r="I91">
        <v>4.8</v>
      </c>
    </row>
    <row r="92" spans="1:9" x14ac:dyDescent="0.35">
      <c r="A92" t="s">
        <v>148</v>
      </c>
      <c r="B92" s="1">
        <v>45678</v>
      </c>
      <c r="C92" t="s">
        <v>34</v>
      </c>
      <c r="D92" t="s">
        <v>46</v>
      </c>
      <c r="E92" t="s">
        <v>59</v>
      </c>
      <c r="F92" t="s">
        <v>51</v>
      </c>
      <c r="G92" t="s">
        <v>38</v>
      </c>
      <c r="H92">
        <v>56.1</v>
      </c>
      <c r="I92">
        <v>1.4</v>
      </c>
    </row>
    <row r="93" spans="1:9" x14ac:dyDescent="0.35">
      <c r="A93" t="s">
        <v>149</v>
      </c>
      <c r="B93" s="1">
        <v>45716</v>
      </c>
      <c r="C93" t="s">
        <v>50</v>
      </c>
      <c r="D93" t="s">
        <v>42</v>
      </c>
      <c r="E93" t="s">
        <v>36</v>
      </c>
      <c r="F93" t="s">
        <v>66</v>
      </c>
      <c r="G93" t="s">
        <v>38</v>
      </c>
      <c r="H93">
        <v>34.299999999999997</v>
      </c>
      <c r="I93">
        <v>4.0999999999999996</v>
      </c>
    </row>
    <row r="94" spans="1:9" x14ac:dyDescent="0.35">
      <c r="A94" t="s">
        <v>150</v>
      </c>
      <c r="B94" s="1">
        <v>45706</v>
      </c>
      <c r="C94" t="s">
        <v>50</v>
      </c>
      <c r="D94" t="s">
        <v>42</v>
      </c>
      <c r="E94" t="s">
        <v>36</v>
      </c>
      <c r="F94" t="s">
        <v>37</v>
      </c>
      <c r="G94" t="s">
        <v>67</v>
      </c>
      <c r="H94">
        <v>59.7</v>
      </c>
      <c r="I94">
        <v>3.5</v>
      </c>
    </row>
    <row r="95" spans="1:9" x14ac:dyDescent="0.35">
      <c r="A95" t="s">
        <v>151</v>
      </c>
      <c r="B95" s="1">
        <v>45692</v>
      </c>
      <c r="C95" t="s">
        <v>41</v>
      </c>
      <c r="D95" t="s">
        <v>58</v>
      </c>
      <c r="E95" t="s">
        <v>59</v>
      </c>
      <c r="F95" t="s">
        <v>66</v>
      </c>
      <c r="G95" t="s">
        <v>38</v>
      </c>
      <c r="H95">
        <v>43.3</v>
      </c>
      <c r="I95">
        <v>2.1</v>
      </c>
    </row>
    <row r="96" spans="1:9" x14ac:dyDescent="0.35">
      <c r="A96" t="s">
        <v>152</v>
      </c>
      <c r="B96" s="1">
        <v>45738</v>
      </c>
      <c r="C96" t="s">
        <v>34</v>
      </c>
      <c r="D96" t="s">
        <v>42</v>
      </c>
      <c r="E96" t="s">
        <v>36</v>
      </c>
      <c r="F96" t="s">
        <v>51</v>
      </c>
      <c r="G96" t="s">
        <v>38</v>
      </c>
      <c r="H96">
        <v>24.2</v>
      </c>
      <c r="I96">
        <v>1.3</v>
      </c>
    </row>
    <row r="97" spans="1:9" x14ac:dyDescent="0.35">
      <c r="A97" t="s">
        <v>153</v>
      </c>
      <c r="B97" s="1">
        <v>45745</v>
      </c>
      <c r="C97" t="s">
        <v>41</v>
      </c>
      <c r="D97" t="s">
        <v>42</v>
      </c>
      <c r="E97" t="s">
        <v>47</v>
      </c>
      <c r="F97" t="s">
        <v>66</v>
      </c>
      <c r="G97" t="s">
        <v>67</v>
      </c>
      <c r="H97">
        <v>18.8</v>
      </c>
      <c r="I97">
        <v>2</v>
      </c>
    </row>
    <row r="98" spans="1:9" x14ac:dyDescent="0.35">
      <c r="A98" t="s">
        <v>154</v>
      </c>
      <c r="B98" s="1">
        <v>45728</v>
      </c>
      <c r="C98" t="s">
        <v>63</v>
      </c>
      <c r="D98" t="s">
        <v>35</v>
      </c>
      <c r="E98" t="s">
        <v>59</v>
      </c>
      <c r="F98" t="s">
        <v>37</v>
      </c>
      <c r="G98" t="s">
        <v>44</v>
      </c>
      <c r="H98">
        <v>67.400000000000006</v>
      </c>
      <c r="I98">
        <v>3.2</v>
      </c>
    </row>
    <row r="99" spans="1:9" x14ac:dyDescent="0.35">
      <c r="A99" t="s">
        <v>155</v>
      </c>
      <c r="B99" s="1">
        <v>45686</v>
      </c>
      <c r="C99" t="s">
        <v>34</v>
      </c>
      <c r="D99" t="s">
        <v>46</v>
      </c>
      <c r="E99" t="s">
        <v>36</v>
      </c>
      <c r="F99" t="s">
        <v>66</v>
      </c>
      <c r="G99" t="s">
        <v>44</v>
      </c>
      <c r="H99">
        <v>21.2</v>
      </c>
      <c r="I99">
        <v>1.6</v>
      </c>
    </row>
    <row r="100" spans="1:9" x14ac:dyDescent="0.35">
      <c r="A100" t="s">
        <v>156</v>
      </c>
      <c r="B100" s="1">
        <v>45744</v>
      </c>
      <c r="C100" t="s">
        <v>34</v>
      </c>
      <c r="D100" t="s">
        <v>42</v>
      </c>
      <c r="E100" t="s">
        <v>47</v>
      </c>
      <c r="F100" t="s">
        <v>43</v>
      </c>
      <c r="G100" t="s">
        <v>38</v>
      </c>
      <c r="H100">
        <v>33.299999999999997</v>
      </c>
      <c r="I100">
        <v>2.6</v>
      </c>
    </row>
    <row r="101" spans="1:9" x14ac:dyDescent="0.35">
      <c r="A101" t="s">
        <v>157</v>
      </c>
      <c r="B101" s="1">
        <v>45699</v>
      </c>
      <c r="C101" t="s">
        <v>65</v>
      </c>
      <c r="D101" t="s">
        <v>42</v>
      </c>
      <c r="E101" t="s">
        <v>59</v>
      </c>
      <c r="F101" t="s">
        <v>66</v>
      </c>
      <c r="G101" t="s">
        <v>38</v>
      </c>
      <c r="H101">
        <v>54.4</v>
      </c>
      <c r="I101">
        <v>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EA38-5AC5-4AE8-8958-A38FA8D2518F}">
  <dimension ref="A1:E10"/>
  <sheetViews>
    <sheetView workbookViewId="0">
      <selection activeCell="G9" sqref="G9"/>
    </sheetView>
  </sheetViews>
  <sheetFormatPr defaultRowHeight="14.5" x14ac:dyDescent="0.35"/>
  <cols>
    <col min="1" max="1" width="17.6328125" bestFit="1" customWidth="1"/>
    <col min="2" max="2" width="15.90625" bestFit="1" customWidth="1"/>
  </cols>
  <sheetData>
    <row r="1" spans="1:5" x14ac:dyDescent="0.35">
      <c r="A1" s="2" t="s">
        <v>10</v>
      </c>
      <c r="B1" s="2"/>
      <c r="C1" s="2"/>
      <c r="D1" s="2"/>
      <c r="E1" s="2"/>
    </row>
    <row r="3" spans="1:5" x14ac:dyDescent="0.35">
      <c r="A3" s="4" t="s">
        <v>159</v>
      </c>
      <c r="B3" t="s">
        <v>158</v>
      </c>
    </row>
    <row r="4" spans="1:5" x14ac:dyDescent="0.35">
      <c r="A4" s="6" t="s">
        <v>63</v>
      </c>
      <c r="B4" s="7">
        <v>19</v>
      </c>
    </row>
    <row r="5" spans="1:5" x14ac:dyDescent="0.35">
      <c r="A5" s="5" t="s">
        <v>34</v>
      </c>
      <c r="B5" s="3">
        <v>18</v>
      </c>
    </row>
    <row r="6" spans="1:5" x14ac:dyDescent="0.35">
      <c r="A6" s="5" t="s">
        <v>41</v>
      </c>
      <c r="B6" s="3">
        <v>17</v>
      </c>
    </row>
    <row r="7" spans="1:5" x14ac:dyDescent="0.35">
      <c r="A7" s="5" t="s">
        <v>65</v>
      </c>
      <c r="B7" s="3">
        <v>16</v>
      </c>
    </row>
    <row r="8" spans="1:5" x14ac:dyDescent="0.35">
      <c r="A8" s="5" t="s">
        <v>50</v>
      </c>
      <c r="B8" s="3">
        <v>16</v>
      </c>
    </row>
    <row r="9" spans="1:5" x14ac:dyDescent="0.35">
      <c r="A9" s="5" t="s">
        <v>54</v>
      </c>
      <c r="B9" s="3">
        <v>14</v>
      </c>
    </row>
    <row r="10" spans="1:5" x14ac:dyDescent="0.35">
      <c r="A10" s="5" t="s">
        <v>160</v>
      </c>
      <c r="B10" s="3">
        <v>100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7184D-DFD1-4D7E-A30C-E7043B07669C}">
  <dimension ref="A1:F7"/>
  <sheetViews>
    <sheetView workbookViewId="0">
      <selection activeCell="F6" sqref="F6"/>
    </sheetView>
  </sheetViews>
  <sheetFormatPr defaultRowHeight="14.5" x14ac:dyDescent="0.35"/>
  <cols>
    <col min="1" max="1" width="12.36328125" bestFit="1" customWidth="1"/>
    <col min="2" max="2" width="15.90625" bestFit="1" customWidth="1"/>
  </cols>
  <sheetData>
    <row r="1" spans="1:6" x14ac:dyDescent="0.35">
      <c r="A1" s="2" t="s">
        <v>12</v>
      </c>
      <c r="B1" s="2"/>
      <c r="C1" s="2"/>
      <c r="D1" s="2"/>
      <c r="E1" s="2"/>
      <c r="F1" s="2"/>
    </row>
    <row r="3" spans="1:6" x14ac:dyDescent="0.35">
      <c r="A3" s="4" t="s">
        <v>159</v>
      </c>
      <c r="B3" t="s">
        <v>158</v>
      </c>
    </row>
    <row r="4" spans="1:6" x14ac:dyDescent="0.35">
      <c r="A4" s="9" t="s">
        <v>47</v>
      </c>
      <c r="B4" s="10">
        <v>36</v>
      </c>
    </row>
    <row r="5" spans="1:6" x14ac:dyDescent="0.35">
      <c r="A5" s="5" t="s">
        <v>36</v>
      </c>
      <c r="B5" s="3">
        <v>34</v>
      </c>
    </row>
    <row r="6" spans="1:6" x14ac:dyDescent="0.35">
      <c r="A6" s="5" t="s">
        <v>59</v>
      </c>
      <c r="B6" s="3">
        <v>30</v>
      </c>
    </row>
    <row r="7" spans="1:6" x14ac:dyDescent="0.35">
      <c r="A7" s="5" t="s">
        <v>160</v>
      </c>
      <c r="B7" s="3">
        <v>100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9AD21-D35C-4429-884B-83A4B1CC4A86}">
  <dimension ref="A1:G8"/>
  <sheetViews>
    <sheetView workbookViewId="0">
      <selection activeCell="A7" sqref="A7"/>
    </sheetView>
  </sheetViews>
  <sheetFormatPr defaultRowHeight="14.5" x14ac:dyDescent="0.35"/>
  <cols>
    <col min="1" max="1" width="12.36328125" bestFit="1" customWidth="1"/>
    <col min="2" max="2" width="30.7265625" bestFit="1" customWidth="1"/>
  </cols>
  <sheetData>
    <row r="1" spans="1:7" x14ac:dyDescent="0.35">
      <c r="A1" s="2" t="s">
        <v>52</v>
      </c>
      <c r="B1" s="2"/>
      <c r="C1" s="2"/>
      <c r="D1" s="2"/>
      <c r="E1" s="2"/>
      <c r="F1" s="2"/>
      <c r="G1" s="2"/>
    </row>
    <row r="3" spans="1:7" x14ac:dyDescent="0.35">
      <c r="A3" s="4" t="s">
        <v>159</v>
      </c>
      <c r="B3" t="s">
        <v>161</v>
      </c>
    </row>
    <row r="4" spans="1:7" x14ac:dyDescent="0.35">
      <c r="A4" s="5" t="s">
        <v>58</v>
      </c>
      <c r="B4" s="3">
        <v>47.153846153846153</v>
      </c>
    </row>
    <row r="5" spans="1:7" x14ac:dyDescent="0.35">
      <c r="A5" s="5" t="s">
        <v>42</v>
      </c>
      <c r="B5" s="3">
        <v>40.57586206896552</v>
      </c>
    </row>
    <row r="6" spans="1:7" x14ac:dyDescent="0.35">
      <c r="A6" s="5" t="s">
        <v>46</v>
      </c>
      <c r="B6" s="3">
        <v>39.499999999999993</v>
      </c>
    </row>
    <row r="7" spans="1:7" x14ac:dyDescent="0.35">
      <c r="A7" s="5" t="s">
        <v>35</v>
      </c>
      <c r="B7" s="3">
        <v>35.04137931034483</v>
      </c>
    </row>
    <row r="8" spans="1:7" x14ac:dyDescent="0.35">
      <c r="A8" s="5" t="s">
        <v>160</v>
      </c>
      <c r="B8" s="3">
        <v>39.514000000000003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6A75-4665-411A-A1DA-DF7C4ADD8C8C}">
  <dimension ref="A1:F9"/>
  <sheetViews>
    <sheetView workbookViewId="0">
      <selection activeCell="E7" sqref="E7"/>
    </sheetView>
  </sheetViews>
  <sheetFormatPr defaultRowHeight="14.5" x14ac:dyDescent="0.35"/>
  <cols>
    <col min="1" max="1" width="19.26953125" bestFit="1" customWidth="1"/>
    <col min="2" max="2" width="24.36328125" bestFit="1" customWidth="1"/>
  </cols>
  <sheetData>
    <row r="1" spans="1:6" x14ac:dyDescent="0.35">
      <c r="A1" s="2" t="s">
        <v>16</v>
      </c>
      <c r="B1" s="2"/>
      <c r="C1" s="2"/>
      <c r="D1" s="2"/>
      <c r="E1" s="2"/>
      <c r="F1" s="2"/>
    </row>
    <row r="3" spans="1:6" x14ac:dyDescent="0.35">
      <c r="A3" s="4" t="s">
        <v>159</v>
      </c>
      <c r="B3" t="s">
        <v>162</v>
      </c>
    </row>
    <row r="4" spans="1:6" x14ac:dyDescent="0.35">
      <c r="A4" s="5" t="s">
        <v>43</v>
      </c>
      <c r="B4" s="3">
        <v>3.0562499999999999</v>
      </c>
    </row>
    <row r="5" spans="1:6" x14ac:dyDescent="0.35">
      <c r="A5" s="5" t="s">
        <v>66</v>
      </c>
      <c r="B5" s="3">
        <v>2.964</v>
      </c>
    </row>
    <row r="6" spans="1:6" x14ac:dyDescent="0.35">
      <c r="A6" s="5" t="s">
        <v>60</v>
      </c>
      <c r="B6" s="3">
        <v>2.9549999999999996</v>
      </c>
    </row>
    <row r="7" spans="1:6" x14ac:dyDescent="0.35">
      <c r="A7" s="5" t="s">
        <v>37</v>
      </c>
      <c r="B7" s="3">
        <v>2.8888888888888888</v>
      </c>
    </row>
    <row r="8" spans="1:6" x14ac:dyDescent="0.35">
      <c r="A8" s="6" t="s">
        <v>51</v>
      </c>
      <c r="B8" s="7">
        <v>2.538095238095238</v>
      </c>
    </row>
    <row r="9" spans="1:6" x14ac:dyDescent="0.35">
      <c r="A9" s="5" t="s">
        <v>160</v>
      </c>
      <c r="B9" s="3">
        <v>2.8740000000000014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76985-BAD7-4D31-96D1-3B9B4DEE5B0F}">
  <dimension ref="A1:F7"/>
  <sheetViews>
    <sheetView tabSelected="1" workbookViewId="0">
      <selection activeCell="A4" sqref="A4:B6"/>
    </sheetView>
  </sheetViews>
  <sheetFormatPr defaultRowHeight="14.5" x14ac:dyDescent="0.35"/>
  <cols>
    <col min="1" max="1" width="12.36328125" bestFit="1" customWidth="1"/>
    <col min="2" max="2" width="15.90625" bestFit="1" customWidth="1"/>
  </cols>
  <sheetData>
    <row r="1" spans="1:6" x14ac:dyDescent="0.35">
      <c r="A1" s="2" t="s">
        <v>56</v>
      </c>
      <c r="B1" s="2"/>
      <c r="C1" s="2"/>
      <c r="D1" s="2"/>
      <c r="E1" s="2"/>
      <c r="F1" s="2"/>
    </row>
    <row r="3" spans="1:6" x14ac:dyDescent="0.35">
      <c r="A3" s="4" t="s">
        <v>159</v>
      </c>
      <c r="B3" t="s">
        <v>158</v>
      </c>
    </row>
    <row r="4" spans="1:6" x14ac:dyDescent="0.35">
      <c r="A4" s="8" t="s">
        <v>163</v>
      </c>
      <c r="B4" s="3">
        <v>37</v>
      </c>
    </row>
    <row r="5" spans="1:6" x14ac:dyDescent="0.35">
      <c r="A5" s="8" t="s">
        <v>165</v>
      </c>
      <c r="B5" s="3">
        <v>32</v>
      </c>
    </row>
    <row r="6" spans="1:6" x14ac:dyDescent="0.35">
      <c r="A6" s="8" t="s">
        <v>164</v>
      </c>
      <c r="B6" s="3">
        <v>31</v>
      </c>
    </row>
    <row r="7" spans="1:6" x14ac:dyDescent="0.35">
      <c r="A7" s="8" t="s">
        <v>160</v>
      </c>
      <c r="B7" s="3">
        <v>100</v>
      </c>
    </row>
  </sheetData>
  <mergeCells count="1">
    <mergeCell ref="A1:F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Dataset</vt:lpstr>
      <vt:lpstr>Issue_Type</vt:lpstr>
      <vt:lpstr>Platform_tickets</vt:lpstr>
      <vt:lpstr>Priority_Level</vt:lpstr>
      <vt:lpstr>User_Rating</vt:lpstr>
      <vt:lpstr>Ticket_Counts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Fredrick Bundi</dc:creator>
  <cp:lastModifiedBy>Fredrick Bundi</cp:lastModifiedBy>
  <cp:lastPrinted>2026-09-13T19:30:27Z</cp:lastPrinted>
  <dcterms:created xsi:type="dcterms:W3CDTF">2025-07-19T22:10:11Z</dcterms:created>
  <dcterms:modified xsi:type="dcterms:W3CDTF">2026-09-13T19:30:43Z</dcterms:modified>
</cp:coreProperties>
</file>